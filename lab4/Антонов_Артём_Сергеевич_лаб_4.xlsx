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</sheets>
  <calcPr calcId="152511"/>
</workbook>
</file>

<file path=xl/calcChain.xml><?xml version="1.0" encoding="utf-8"?>
<calcChain xmlns="http://schemas.openxmlformats.org/spreadsheetml/2006/main">
  <c r="J3" i="7" l="1"/>
  <c r="K3" i="7"/>
  <c r="L3" i="7"/>
  <c r="M3" i="7"/>
  <c r="N3" i="7"/>
  <c r="J4" i="7"/>
  <c r="K4" i="7"/>
  <c r="L4" i="7"/>
  <c r="M4" i="7"/>
  <c r="N4" i="7"/>
  <c r="J5" i="7"/>
  <c r="K5" i="7"/>
  <c r="L5" i="7"/>
  <c r="M5" i="7"/>
  <c r="N5" i="7"/>
  <c r="J6" i="7"/>
  <c r="K6" i="7"/>
  <c r="L6" i="7"/>
  <c r="M6" i="7"/>
  <c r="N6" i="7"/>
  <c r="K2" i="7"/>
  <c r="L2" i="7"/>
  <c r="M2" i="7"/>
  <c r="N2" i="7"/>
  <c r="J2" i="7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D2" i="7"/>
  <c r="E2" i="7"/>
  <c r="F2" i="7"/>
  <c r="G2" i="7"/>
  <c r="C2" i="7"/>
  <c r="B3" i="7"/>
  <c r="B4" i="7"/>
  <c r="B5" i="7"/>
  <c r="B6" i="7"/>
  <c r="B7" i="7"/>
  <c r="B2" i="7"/>
  <c r="F3" i="6"/>
  <c r="F4" i="6"/>
  <c r="F5" i="6"/>
  <c r="F6" i="6"/>
  <c r="F7" i="6"/>
  <c r="F8" i="6"/>
  <c r="F9" i="6"/>
  <c r="F10" i="6"/>
  <c r="F11" i="6"/>
  <c r="F12" i="6"/>
  <c r="F13" i="6"/>
  <c r="F14" i="6"/>
  <c r="F2" i="6"/>
  <c r="C16" i="4"/>
  <c r="D16" i="4"/>
  <c r="E16" i="4"/>
  <c r="F16" i="4"/>
  <c r="C17" i="4"/>
  <c r="D17" i="4"/>
  <c r="E17" i="4"/>
  <c r="F17" i="4"/>
  <c r="C18" i="4"/>
  <c r="D18" i="4"/>
  <c r="E18" i="4"/>
  <c r="F18" i="4"/>
  <c r="C19" i="4"/>
  <c r="D19" i="4"/>
  <c r="E19" i="4"/>
  <c r="F19" i="4"/>
  <c r="D15" i="4"/>
  <c r="E15" i="4"/>
  <c r="F15" i="4"/>
  <c r="C15" i="4"/>
  <c r="B16" i="4"/>
  <c r="B17" i="4"/>
  <c r="B18" i="4"/>
  <c r="B19" i="4"/>
  <c r="B15" i="4"/>
  <c r="D3" i="4"/>
  <c r="E3" i="4"/>
  <c r="F3" i="4"/>
  <c r="G3" i="4"/>
  <c r="H3" i="4"/>
  <c r="I3" i="4"/>
  <c r="J3" i="4"/>
  <c r="K3" i="4"/>
  <c r="L3" i="4"/>
  <c r="D4" i="4"/>
  <c r="E4" i="4"/>
  <c r="F4" i="4"/>
  <c r="G4" i="4"/>
  <c r="H4" i="4"/>
  <c r="I4" i="4"/>
  <c r="J4" i="4"/>
  <c r="K4" i="4"/>
  <c r="L4" i="4"/>
  <c r="D5" i="4"/>
  <c r="E5" i="4"/>
  <c r="F5" i="4"/>
  <c r="G5" i="4"/>
  <c r="H5" i="4"/>
  <c r="I5" i="4"/>
  <c r="J5" i="4"/>
  <c r="K5" i="4"/>
  <c r="L5" i="4"/>
  <c r="D6" i="4"/>
  <c r="E6" i="4"/>
  <c r="F6" i="4"/>
  <c r="G6" i="4"/>
  <c r="H6" i="4"/>
  <c r="I6" i="4"/>
  <c r="J6" i="4"/>
  <c r="K6" i="4"/>
  <c r="L6" i="4"/>
  <c r="D7" i="4"/>
  <c r="E7" i="4"/>
  <c r="F7" i="4"/>
  <c r="G7" i="4"/>
  <c r="H7" i="4"/>
  <c r="I7" i="4"/>
  <c r="J7" i="4"/>
  <c r="K7" i="4"/>
  <c r="L7" i="4"/>
  <c r="D8" i="4"/>
  <c r="E8" i="4"/>
  <c r="F8" i="4"/>
  <c r="G8" i="4"/>
  <c r="H8" i="4"/>
  <c r="I8" i="4"/>
  <c r="J8" i="4"/>
  <c r="K8" i="4"/>
  <c r="L8" i="4"/>
  <c r="D9" i="4"/>
  <c r="E9" i="4"/>
  <c r="F9" i="4"/>
  <c r="G9" i="4"/>
  <c r="H9" i="4"/>
  <c r="I9" i="4"/>
  <c r="J9" i="4"/>
  <c r="K9" i="4"/>
  <c r="L9" i="4"/>
  <c r="D10" i="4"/>
  <c r="E10" i="4"/>
  <c r="F10" i="4"/>
  <c r="G10" i="4"/>
  <c r="H10" i="4"/>
  <c r="I10" i="4"/>
  <c r="J10" i="4"/>
  <c r="K10" i="4"/>
  <c r="L10" i="4"/>
  <c r="D11" i="4"/>
  <c r="E11" i="4"/>
  <c r="F11" i="4"/>
  <c r="G11" i="4"/>
  <c r="H11" i="4"/>
  <c r="I11" i="4"/>
  <c r="J11" i="4"/>
  <c r="K11" i="4"/>
  <c r="L11" i="4"/>
  <c r="D12" i="4"/>
  <c r="E12" i="4"/>
  <c r="F12" i="4"/>
  <c r="G12" i="4"/>
  <c r="H12" i="4"/>
  <c r="I12" i="4"/>
  <c r="J12" i="4"/>
  <c r="K12" i="4"/>
  <c r="L12" i="4"/>
  <c r="E2" i="4"/>
  <c r="F2" i="4"/>
  <c r="G2" i="4"/>
  <c r="H2" i="4"/>
  <c r="I2" i="4"/>
  <c r="J2" i="4"/>
  <c r="K2" i="4"/>
  <c r="L2" i="4"/>
  <c r="D2" i="4"/>
  <c r="B3" i="4"/>
  <c r="B4" i="4"/>
  <c r="B5" i="4"/>
  <c r="B6" i="4"/>
  <c r="B7" i="4"/>
  <c r="B8" i="4"/>
  <c r="B9" i="4"/>
  <c r="B10" i="4"/>
  <c r="B11" i="4"/>
  <c r="B12" i="4"/>
  <c r="B2" i="4"/>
  <c r="C3" i="4"/>
  <c r="C4" i="4"/>
  <c r="C5" i="4"/>
  <c r="C6" i="4"/>
  <c r="C7" i="4"/>
  <c r="C8" i="4"/>
  <c r="C9" i="4"/>
  <c r="C10" i="4"/>
  <c r="C11" i="4"/>
  <c r="C12" i="4"/>
  <c r="C2" i="4"/>
  <c r="E3" i="5"/>
  <c r="E4" i="5"/>
  <c r="E5" i="5"/>
  <c r="E6" i="5"/>
  <c r="E7" i="5"/>
  <c r="E8" i="5"/>
  <c r="E9" i="5"/>
  <c r="E10" i="5"/>
  <c r="E11" i="5"/>
  <c r="E2" i="5"/>
  <c r="D3" i="5"/>
  <c r="D4" i="5"/>
  <c r="D5" i="5"/>
  <c r="D6" i="5"/>
  <c r="D7" i="5"/>
  <c r="D8" i="5"/>
  <c r="D9" i="5"/>
  <c r="D10" i="5"/>
  <c r="D11" i="5"/>
  <c r="D2" i="5"/>
  <c r="E5" i="3"/>
  <c r="E6" i="3"/>
  <c r="E7" i="3"/>
  <c r="E8" i="3"/>
  <c r="E9" i="3"/>
  <c r="E10" i="3"/>
  <c r="E11" i="3"/>
  <c r="E12" i="3"/>
  <c r="E4" i="3"/>
  <c r="D5" i="3"/>
  <c r="D6" i="3"/>
  <c r="D7" i="3"/>
  <c r="D8" i="3"/>
  <c r="D9" i="3"/>
  <c r="D10" i="3"/>
  <c r="D11" i="3"/>
  <c r="D12" i="3"/>
  <c r="D4" i="3"/>
  <c r="C5" i="3"/>
  <c r="C6" i="3"/>
  <c r="C7" i="3"/>
  <c r="C8" i="3"/>
  <c r="C9" i="3"/>
  <c r="C10" i="3"/>
  <c r="C11" i="3"/>
  <c r="C12" i="3"/>
  <c r="C4" i="3"/>
  <c r="E18" i="2"/>
  <c r="F18" i="2"/>
  <c r="G18" i="2"/>
  <c r="H18" i="2"/>
  <c r="D18" i="2"/>
  <c r="E17" i="2"/>
  <c r="F17" i="2"/>
  <c r="G17" i="2"/>
  <c r="H17" i="2"/>
  <c r="D17" i="2"/>
  <c r="H16" i="2"/>
  <c r="G16" i="2"/>
  <c r="F16" i="2"/>
  <c r="E16" i="2"/>
  <c r="D16" i="2"/>
  <c r="H5" i="2"/>
  <c r="H6" i="2"/>
  <c r="H7" i="2"/>
  <c r="H8" i="2"/>
  <c r="H9" i="2"/>
  <c r="H10" i="2"/>
  <c r="H11" i="2"/>
  <c r="H12" i="2"/>
  <c r="H13" i="2"/>
  <c r="H14" i="2"/>
  <c r="H15" i="2"/>
  <c r="H4" i="2"/>
  <c r="G5" i="2"/>
  <c r="G6" i="2"/>
  <c r="G7" i="2"/>
  <c r="G8" i="2"/>
  <c r="G9" i="2"/>
  <c r="G10" i="2"/>
  <c r="G11" i="2"/>
  <c r="G12" i="2"/>
  <c r="G13" i="2"/>
  <c r="G14" i="2"/>
  <c r="G15" i="2"/>
  <c r="G4" i="2"/>
  <c r="F5" i="2"/>
  <c r="F6" i="2"/>
  <c r="F7" i="2"/>
  <c r="F8" i="2"/>
  <c r="F9" i="2"/>
  <c r="F10" i="2"/>
  <c r="F11" i="2"/>
  <c r="F12" i="2"/>
  <c r="F13" i="2"/>
  <c r="F14" i="2"/>
  <c r="F15" i="2"/>
  <c r="F4" i="2"/>
  <c r="E5" i="2"/>
  <c r="E6" i="2"/>
  <c r="E7" i="2"/>
  <c r="E8" i="2"/>
  <c r="E9" i="2"/>
  <c r="E10" i="2"/>
  <c r="E11" i="2"/>
  <c r="E12" i="2"/>
  <c r="E13" i="2"/>
  <c r="E14" i="2"/>
  <c r="E15" i="2"/>
  <c r="E4" i="2"/>
  <c r="D5" i="2"/>
  <c r="D6" i="2"/>
  <c r="D7" i="2"/>
  <c r="D8" i="2"/>
  <c r="D9" i="2"/>
  <c r="D10" i="2"/>
  <c r="D11" i="2"/>
  <c r="D12" i="2"/>
  <c r="D13" i="2"/>
  <c r="D14" i="2"/>
  <c r="D15" i="2"/>
  <c r="D4" i="2"/>
  <c r="E6" i="1"/>
  <c r="F6" i="1"/>
  <c r="F3" i="1"/>
  <c r="F4" i="1"/>
  <c r="F5" i="1"/>
  <c r="F2" i="1"/>
  <c r="E3" i="1"/>
  <c r="E4" i="1"/>
  <c r="E5" i="1"/>
  <c r="E2" i="1"/>
  <c r="D6" i="1"/>
  <c r="D3" i="1"/>
  <c r="D4" i="1"/>
  <c r="D5" i="1"/>
  <c r="D2" i="1"/>
  <c r="C6" i="1"/>
  <c r="B6" i="1"/>
</calcChain>
</file>

<file path=xl/sharedStrings.xml><?xml version="1.0" encoding="utf-8"?>
<sst xmlns="http://schemas.openxmlformats.org/spreadsheetml/2006/main" count="83" uniqueCount="74">
  <si>
    <t>Наименование товаров</t>
  </si>
  <si>
    <t>Количество</t>
  </si>
  <si>
    <t>Цена, руб</t>
  </si>
  <si>
    <t>Сумма, руб</t>
  </si>
  <si>
    <t>Сумма, $</t>
  </si>
  <si>
    <t>Сумма, евро</t>
  </si>
  <si>
    <t>Монитор</t>
  </si>
  <si>
    <t>Принтер</t>
  </si>
  <si>
    <t>Клавиатура</t>
  </si>
  <si>
    <t>Аудиоколонки</t>
  </si>
  <si>
    <t>Итого</t>
  </si>
  <si>
    <t>Сегодня</t>
  </si>
  <si>
    <t>1$</t>
  </si>
  <si>
    <t>1 евро</t>
  </si>
  <si>
    <t>Дата</t>
  </si>
  <si>
    <t>Показания счетчиков</t>
  </si>
  <si>
    <t>Расход, м'</t>
  </si>
  <si>
    <t>Оплата</t>
  </si>
  <si>
    <t>горячей воды</t>
  </si>
  <si>
    <t>31.12 2025</t>
  </si>
  <si>
    <t>Среднее значение за год</t>
  </si>
  <si>
    <t>Максимальное значение за год</t>
  </si>
  <si>
    <t>Итого за год:</t>
  </si>
  <si>
    <t>за холодную воду и отвод сточных вод</t>
  </si>
  <si>
    <t>за горячую воду</t>
  </si>
  <si>
    <t>Итого за месяц</t>
  </si>
  <si>
    <t>холодной воды</t>
  </si>
  <si>
    <t>31.01.2025</t>
  </si>
  <si>
    <t>28.02.2025</t>
  </si>
  <si>
    <t>31.03.2025</t>
  </si>
  <si>
    <t>30.04.2025</t>
  </si>
  <si>
    <t>31.05.2025</t>
  </si>
  <si>
    <t>30.06.2025</t>
  </si>
  <si>
    <t>31.07.2025</t>
  </si>
  <si>
    <t>31.08.2025</t>
  </si>
  <si>
    <t>30.09.2025</t>
  </si>
  <si>
    <t>31.10.2025</t>
  </si>
  <si>
    <t>30.11.2025</t>
  </si>
  <si>
    <t>холодной</t>
  </si>
  <si>
    <t>горячей</t>
  </si>
  <si>
    <t>канализации</t>
  </si>
  <si>
    <t>Вспомагатеьная таблица</t>
  </si>
  <si>
    <r>
      <t>x</t>
    </r>
    <r>
      <rPr>
        <sz val="10"/>
        <color theme="1"/>
        <rFont val="Calibri"/>
        <family val="2"/>
        <charset val="204"/>
      </rPr>
      <t>₀</t>
    </r>
  </si>
  <si>
    <t>k1</t>
  </si>
  <si>
    <t>h</t>
  </si>
  <si>
    <t>Расчет функции y=k*((x²-1)/(x²+1))²</t>
  </si>
  <si>
    <t>Основная таблица</t>
  </si>
  <si>
    <t>№</t>
  </si>
  <si>
    <t>x</t>
  </si>
  <si>
    <t>x²</t>
  </si>
  <si>
    <t>k=sin(k1*x)</t>
  </si>
  <si>
    <t>y</t>
  </si>
  <si>
    <t xml:space="preserve">               x
y</t>
  </si>
  <si>
    <t>Товар</t>
  </si>
  <si>
    <t>Партия</t>
  </si>
  <si>
    <t>Цена</t>
  </si>
  <si>
    <t>Наличие скидки</t>
  </si>
  <si>
    <t>Бананы</t>
  </si>
  <si>
    <t>Апельсины</t>
  </si>
  <si>
    <t>Киви</t>
  </si>
  <si>
    <t>Яблоки</t>
  </si>
  <si>
    <t>Мандарины</t>
  </si>
  <si>
    <t>Авокадо</t>
  </si>
  <si>
    <t>Ананасы</t>
  </si>
  <si>
    <t>Груши</t>
  </si>
  <si>
    <t>Грейпфрут</t>
  </si>
  <si>
    <t>Виноград</t>
  </si>
  <si>
    <t>уравнение</t>
  </si>
  <si>
    <t>условие</t>
  </si>
  <si>
    <t>e^x</t>
  </si>
  <si>
    <t>4/(x^2)</t>
  </si>
  <si>
    <t>x&lt;0</t>
  </si>
  <si>
    <t>0&lt;=x&lt;=2</t>
  </si>
  <si>
    <t>x&gt;2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</si>
</sst>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#,##0\ &quot;₽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/>
      <top/>
      <bottom/>
      <diagonal style="thin">
        <color auto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2" fontId="1" fillId="0" borderId="1" xfId="0" applyNumberFormat="1" applyFont="1" applyBorder="1"/>
    <xf numFmtId="14" fontId="1" fillId="0" borderId="1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left" vertical="top"/>
    </xf>
    <xf numFmtId="0" fontId="4" fillId="0" borderId="6" xfId="1" applyFont="1" applyBorder="1" applyAlignment="1">
      <alignment horizontal="left"/>
    </xf>
    <xf numFmtId="0" fontId="4" fillId="0" borderId="6" xfId="1" applyFont="1" applyBorder="1" applyAlignment="1">
      <alignment horizontal="left" vertical="top" indent="1"/>
    </xf>
    <xf numFmtId="0" fontId="4" fillId="0" borderId="7" xfId="1" applyFont="1" applyBorder="1" applyAlignment="1">
      <alignment horizontal="left"/>
    </xf>
    <xf numFmtId="0" fontId="4" fillId="0" borderId="7" xfId="1" applyFont="1" applyBorder="1" applyAlignment="1">
      <alignment horizontal="left" vertical="top"/>
    </xf>
    <xf numFmtId="0" fontId="4" fillId="0" borderId="5" xfId="1" applyFont="1" applyBorder="1" applyAlignment="1">
      <alignment horizontal="left" vertical="top"/>
    </xf>
    <xf numFmtId="0" fontId="4" fillId="0" borderId="2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justify" vertical="center" wrapText="1"/>
    </xf>
    <xf numFmtId="0" fontId="4" fillId="0" borderId="4" xfId="1" applyFont="1" applyBorder="1" applyAlignment="1">
      <alignment horizontal="left" vertical="top"/>
    </xf>
    <xf numFmtId="0" fontId="4" fillId="0" borderId="6" xfId="1" applyNumberFormat="1" applyFont="1" applyBorder="1" applyAlignment="1">
      <alignment horizontal="left" vertical="top"/>
    </xf>
    <xf numFmtId="0" fontId="4" fillId="0" borderId="6" xfId="1" applyNumberFormat="1" applyFont="1" applyBorder="1" applyAlignment="1">
      <alignment horizontal="left"/>
    </xf>
    <xf numFmtId="0" fontId="4" fillId="0" borderId="6" xfId="1" applyNumberFormat="1" applyFont="1" applyBorder="1" applyAlignment="1">
      <alignment horizontal="left" vertical="center"/>
    </xf>
    <xf numFmtId="2" fontId="4" fillId="0" borderId="6" xfId="1" applyNumberFormat="1" applyFont="1" applyBorder="1" applyAlignment="1">
      <alignment horizontal="left" vertical="top" indent="1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172" fontId="1" fillId="0" borderId="0" xfId="0" applyNumberFormat="1" applyFont="1"/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затрат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Лист1!$A$2:$A$5</c:f>
              <c:strCache>
                <c:ptCount val="4"/>
                <c:pt idx="0">
                  <c:v>Монитор</c:v>
                </c:pt>
                <c:pt idx="1">
                  <c:v>Принтер</c:v>
                </c:pt>
                <c:pt idx="2">
                  <c:v>Клавиатура</c:v>
                </c:pt>
                <c:pt idx="3">
                  <c:v>Аудиоколонки</c:v>
                </c:pt>
              </c:strCache>
            </c:strRef>
          </c:cat>
          <c:val>
            <c:numRef>
              <c:f>Лист1!$D$2:$D$5</c:f>
              <c:numCache>
                <c:formatCode>General</c:formatCode>
                <c:ptCount val="4"/>
                <c:pt idx="0">
                  <c:v>57120</c:v>
                </c:pt>
                <c:pt idx="1">
                  <c:v>84018</c:v>
                </c:pt>
                <c:pt idx="2">
                  <c:v>13547</c:v>
                </c:pt>
                <c:pt idx="3">
                  <c:v>6528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815368"/>
        <c:axId val="242817720"/>
      </c:barChart>
      <c:catAx>
        <c:axId val="24281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2817720"/>
        <c:crosses val="autoZero"/>
        <c:auto val="1"/>
        <c:lblAlgn val="ctr"/>
        <c:lblOffset val="100"/>
        <c:noMultiLvlLbl val="0"/>
      </c:catAx>
      <c:valAx>
        <c:axId val="24281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2815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Оплата</a:t>
            </a:r>
            <a:r>
              <a:rPr lang="ru-RU" baseline="0"/>
              <a:t> по месяцам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Лист2!$A$4:$A$15</c:f>
              <c:strCache>
                <c:ptCount val="12"/>
                <c:pt idx="0">
                  <c:v>31.01.2025</c:v>
                </c:pt>
                <c:pt idx="1">
                  <c:v>28.02.2025</c:v>
                </c:pt>
                <c:pt idx="2">
                  <c:v>31.03.2025</c:v>
                </c:pt>
                <c:pt idx="3">
                  <c:v>30.04.2025</c:v>
                </c:pt>
                <c:pt idx="4">
                  <c:v>31.05.2025</c:v>
                </c:pt>
                <c:pt idx="5">
                  <c:v>30.06.2025</c:v>
                </c:pt>
                <c:pt idx="6">
                  <c:v>31.07.2025</c:v>
                </c:pt>
                <c:pt idx="7">
                  <c:v>31.08.2025</c:v>
                </c:pt>
                <c:pt idx="8">
                  <c:v>30.09.2025</c:v>
                </c:pt>
                <c:pt idx="9">
                  <c:v>31.10.2025</c:v>
                </c:pt>
                <c:pt idx="10">
                  <c:v>30.11.2025</c:v>
                </c:pt>
                <c:pt idx="11">
                  <c:v>31.12 2025</c:v>
                </c:pt>
              </c:strCache>
            </c:strRef>
          </c:cat>
          <c:val>
            <c:numRef>
              <c:f>Лист2!$H$4:$H$15</c:f>
              <c:numCache>
                <c:formatCode>General</c:formatCode>
                <c:ptCount val="12"/>
                <c:pt idx="0">
                  <c:v>2583.6999999999998</c:v>
                </c:pt>
                <c:pt idx="1">
                  <c:v>2573.2400000000002</c:v>
                </c:pt>
                <c:pt idx="2">
                  <c:v>4189.3600000000006</c:v>
                </c:pt>
                <c:pt idx="3">
                  <c:v>2902.7400000000002</c:v>
                </c:pt>
                <c:pt idx="4">
                  <c:v>1616.1200000000001</c:v>
                </c:pt>
                <c:pt idx="5">
                  <c:v>2264.66</c:v>
                </c:pt>
                <c:pt idx="6">
                  <c:v>988.5</c:v>
                </c:pt>
                <c:pt idx="7">
                  <c:v>3870.3200000000006</c:v>
                </c:pt>
                <c:pt idx="8">
                  <c:v>3221.7799999999997</c:v>
                </c:pt>
                <c:pt idx="9">
                  <c:v>2254.1999999999998</c:v>
                </c:pt>
                <c:pt idx="10">
                  <c:v>2902.7400000000002</c:v>
                </c:pt>
                <c:pt idx="11">
                  <c:v>2264.66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Оплата</a:t>
            </a:r>
            <a:r>
              <a:rPr lang="ru-RU" baseline="0"/>
              <a:t> горячей воды по месяцам</a:t>
            </a:r>
            <a:endParaRPr lang="ru-RU"/>
          </a:p>
        </c:rich>
      </c:tx>
      <c:layout>
        <c:manualLayout>
          <c:xMode val="edge"/>
          <c:yMode val="edge"/>
          <c:x val="0.312236001749781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Лист2!$A$4:$A$15</c:f>
              <c:strCache>
                <c:ptCount val="12"/>
                <c:pt idx="0">
                  <c:v>31.01.2025</c:v>
                </c:pt>
                <c:pt idx="1">
                  <c:v>28.02.2025</c:v>
                </c:pt>
                <c:pt idx="2">
                  <c:v>31.03.2025</c:v>
                </c:pt>
                <c:pt idx="3">
                  <c:v>30.04.2025</c:v>
                </c:pt>
                <c:pt idx="4">
                  <c:v>31.05.2025</c:v>
                </c:pt>
                <c:pt idx="5">
                  <c:v>30.06.2025</c:v>
                </c:pt>
                <c:pt idx="6">
                  <c:v>31.07.2025</c:v>
                </c:pt>
                <c:pt idx="7">
                  <c:v>31.08.2025</c:v>
                </c:pt>
                <c:pt idx="8">
                  <c:v>30.09.2025</c:v>
                </c:pt>
                <c:pt idx="9">
                  <c:v>31.10.2025</c:v>
                </c:pt>
                <c:pt idx="10">
                  <c:v>30.11.2025</c:v>
                </c:pt>
                <c:pt idx="11">
                  <c:v>31.12 2025</c:v>
                </c:pt>
              </c:strCache>
            </c:strRef>
          </c:cat>
          <c:val>
            <c:numRef>
              <c:f>Лист2!$G$4:$G$15</c:f>
              <c:numCache>
                <c:formatCode>General</c:formatCode>
                <c:ptCount val="12"/>
                <c:pt idx="0">
                  <c:v>303.60000000000002</c:v>
                </c:pt>
                <c:pt idx="1">
                  <c:v>364.32</c:v>
                </c:pt>
                <c:pt idx="2">
                  <c:v>546.48</c:v>
                </c:pt>
                <c:pt idx="3">
                  <c:v>364.32</c:v>
                </c:pt>
                <c:pt idx="4">
                  <c:v>182.16</c:v>
                </c:pt>
                <c:pt idx="5">
                  <c:v>242.88</c:v>
                </c:pt>
                <c:pt idx="6">
                  <c:v>0</c:v>
                </c:pt>
                <c:pt idx="7">
                  <c:v>485.76</c:v>
                </c:pt>
                <c:pt idx="8">
                  <c:v>425.03999999999996</c:v>
                </c:pt>
                <c:pt idx="9">
                  <c:v>303.60000000000002</c:v>
                </c:pt>
                <c:pt idx="10">
                  <c:v>364.32</c:v>
                </c:pt>
                <c:pt idx="11">
                  <c:v>242.88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0576944"/>
        <c:axId val="290578120"/>
      </c:barChart>
      <c:catAx>
        <c:axId val="29057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578120"/>
        <c:crosses val="autoZero"/>
        <c:auto val="1"/>
        <c:lblAlgn val="ctr"/>
        <c:lblOffset val="100"/>
        <c:noMultiLvlLbl val="0"/>
      </c:catAx>
      <c:valAx>
        <c:axId val="29057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57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 </a:t>
            </a:r>
            <a:r>
              <a:rPr lang="en-US" baseline="0"/>
              <a:t>y(x)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Лист3!$E$3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Лист3!$B$4:$B$12</c:f>
              <c:numCache>
                <c:formatCode>General</c:formatCode>
                <c:ptCount val="9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</c:numCache>
            </c:numRef>
          </c:xVal>
          <c:yVal>
            <c:numRef>
              <c:f>Лист3!$E$4:$E$12</c:f>
              <c:numCache>
                <c:formatCode>General</c:formatCode>
                <c:ptCount val="9"/>
                <c:pt idx="0">
                  <c:v>0.10058957935161331</c:v>
                </c:pt>
                <c:pt idx="1">
                  <c:v>0.14460504699187826</c:v>
                </c:pt>
                <c:pt idx="2">
                  <c:v>0</c:v>
                </c:pt>
                <c:pt idx="3">
                  <c:v>-0.35909819517745961</c:v>
                </c:pt>
                <c:pt idx="4">
                  <c:v>0</c:v>
                </c:pt>
                <c:pt idx="5">
                  <c:v>0.35909819517745961</c:v>
                </c:pt>
                <c:pt idx="6">
                  <c:v>0</c:v>
                </c:pt>
                <c:pt idx="7">
                  <c:v>-0.14460504699187826</c:v>
                </c:pt>
                <c:pt idx="8">
                  <c:v>-0.10058957935161331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80736"/>
        <c:axId val="290581128"/>
      </c:scatterChart>
      <c:valAx>
        <c:axId val="29058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581128"/>
        <c:crosses val="autoZero"/>
        <c:crossBetween val="midCat"/>
      </c:valAx>
      <c:valAx>
        <c:axId val="290581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58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Лист6!$F$1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Лист6!$E$2:$E$14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xVal>
          <c:yVal>
            <c:numRef>
              <c:f>Лист6!$F$2:$F$14</c:f>
              <c:numCache>
                <c:formatCode>General</c:formatCode>
                <c:ptCount val="13"/>
                <c:pt idx="0">
                  <c:v>4.9787068367863944E-2</c:v>
                </c:pt>
                <c:pt idx="1">
                  <c:v>8.20849986238988E-2</c:v>
                </c:pt>
                <c:pt idx="2">
                  <c:v>0.1353352832366127</c:v>
                </c:pt>
                <c:pt idx="3">
                  <c:v>0.22313016014842982</c:v>
                </c:pt>
                <c:pt idx="4">
                  <c:v>0.36787944117144233</c:v>
                </c:pt>
                <c:pt idx="5">
                  <c:v>0.60653065971263342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3.2</c:v>
                </c:pt>
                <c:pt idx="12">
                  <c:v>2.6666666666666665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848176"/>
        <c:axId val="292847784"/>
      </c:scatterChart>
      <c:valAx>
        <c:axId val="29284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2847784"/>
        <c:crosses val="autoZero"/>
        <c:crossBetween val="midCat"/>
      </c:valAx>
      <c:valAx>
        <c:axId val="29284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284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функции </a:t>
            </a:r>
            <a:r>
              <a:rPr lang="en-US" baseline="0"/>
              <a:t>z(x,y)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Лист7!$A$3</c:f>
              <c:strCache>
                <c:ptCount val="1"/>
                <c:pt idx="0">
                  <c:v>0,2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Лист7!$B$1:$G$1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Лист7!$B$3:$G$3</c:f>
              <c:numCache>
                <c:formatCode>General</c:formatCode>
                <c:ptCount val="6"/>
                <c:pt idx="0">
                  <c:v>1</c:v>
                </c:pt>
                <c:pt idx="1">
                  <c:v>-1.999999999999999E-2</c:v>
                </c:pt>
                <c:pt idx="2">
                  <c:v>-0.12</c:v>
                </c:pt>
                <c:pt idx="3">
                  <c:v>-0.21999999999999997</c:v>
                </c:pt>
                <c:pt idx="4">
                  <c:v>-0.32</c:v>
                </c:pt>
                <c:pt idx="5">
                  <c:v>-0.42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Лист7!$A$4</c:f>
              <c:strCache>
                <c:ptCount val="1"/>
                <c:pt idx="0">
                  <c:v>0,4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Лист7!$B$1:$G$1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Лист7!$B$4:$G$4</c:f>
              <c:numCache>
                <c:formatCode>General</c:formatCode>
                <c:ptCount val="6"/>
                <c:pt idx="0">
                  <c:v>1</c:v>
                </c:pt>
                <c:pt idx="1">
                  <c:v>1.0954451150103321</c:v>
                </c:pt>
                <c:pt idx="2">
                  <c:v>0.12000000000000005</c:v>
                </c:pt>
                <c:pt idx="3">
                  <c:v>2.0000000000000073E-2</c:v>
                </c:pt>
                <c:pt idx="4">
                  <c:v>-7.999999999999996E-2</c:v>
                </c:pt>
                <c:pt idx="5">
                  <c:v>-0.17999999999999994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Лист7!$A$5</c:f>
              <c:strCache>
                <c:ptCount val="1"/>
                <c:pt idx="0">
                  <c:v>0,6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Лист7!$B$1:$G$1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Лист7!$B$5:$G$5</c:f>
              <c:numCache>
                <c:formatCode>General</c:formatCode>
                <c:ptCount val="6"/>
                <c:pt idx="0">
                  <c:v>1</c:v>
                </c:pt>
                <c:pt idx="1">
                  <c:v>1.0954451150103321</c:v>
                </c:pt>
                <c:pt idx="2">
                  <c:v>1.1832159566199232</c:v>
                </c:pt>
                <c:pt idx="3">
                  <c:v>0.42</c:v>
                </c:pt>
                <c:pt idx="4">
                  <c:v>0.31999999999999995</c:v>
                </c:pt>
                <c:pt idx="5">
                  <c:v>0.21999999999999997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Лист7!$A$6</c:f>
              <c:strCache>
                <c:ptCount val="1"/>
                <c:pt idx="0">
                  <c:v>0.8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Лист7!$B$1:$G$1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Лист7!$B$6:$G$6</c:f>
              <c:numCache>
                <c:formatCode>General</c:formatCode>
                <c:ptCount val="6"/>
                <c:pt idx="0">
                  <c:v>1</c:v>
                </c:pt>
                <c:pt idx="1">
                  <c:v>1.0954451150103321</c:v>
                </c:pt>
                <c:pt idx="2">
                  <c:v>1.1832159566199232</c:v>
                </c:pt>
                <c:pt idx="3">
                  <c:v>1.2649110640673518</c:v>
                </c:pt>
                <c:pt idx="4">
                  <c:v>0.88000000000000023</c:v>
                </c:pt>
                <c:pt idx="5">
                  <c:v>0.78000000000000025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844472"/>
        <c:axId val="292843688"/>
      </c:scatterChart>
      <c:valAx>
        <c:axId val="292844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2843688"/>
        <c:crosses val="autoZero"/>
        <c:crossBetween val="midCat"/>
      </c:valAx>
      <c:valAx>
        <c:axId val="29284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2844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3</xdr:row>
      <xdr:rowOff>14287</xdr:rowOff>
    </xdr:from>
    <xdr:to>
      <xdr:col>13</xdr:col>
      <xdr:colOff>409575</xdr:colOff>
      <xdr:row>17</xdr:row>
      <xdr:rowOff>90487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4762</xdr:rowOff>
    </xdr:from>
    <xdr:to>
      <xdr:col>5</xdr:col>
      <xdr:colOff>466725</xdr:colOff>
      <xdr:row>32</xdr:row>
      <xdr:rowOff>80962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542925</xdr:colOff>
      <xdr:row>18</xdr:row>
      <xdr:rowOff>42862</xdr:rowOff>
    </xdr:from>
    <xdr:to>
      <xdr:col>10</xdr:col>
      <xdr:colOff>209550</xdr:colOff>
      <xdr:row>32</xdr:row>
      <xdr:rowOff>119062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185737</xdr:rowOff>
    </xdr:from>
    <xdr:to>
      <xdr:col>13</xdr:col>
      <xdr:colOff>304800</xdr:colOff>
      <xdr:row>19</xdr:row>
      <xdr:rowOff>71437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14287</xdr:rowOff>
    </xdr:from>
    <xdr:to>
      <xdr:col>14</xdr:col>
      <xdr:colOff>314325</xdr:colOff>
      <xdr:row>14</xdr:row>
      <xdr:rowOff>90487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9</xdr:row>
      <xdr:rowOff>128587</xdr:rowOff>
    </xdr:from>
    <xdr:to>
      <xdr:col>13</xdr:col>
      <xdr:colOff>352425</xdr:colOff>
      <xdr:row>24</xdr:row>
      <xdr:rowOff>14287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2"/>
  <sheetViews>
    <sheetView tabSelected="1" workbookViewId="0">
      <selection activeCell="L3" sqref="L3"/>
    </sheetView>
  </sheetViews>
  <sheetFormatPr defaultRowHeight="15" x14ac:dyDescent="0.25"/>
  <cols>
    <col min="1" max="1" width="16" customWidth="1"/>
    <col min="2" max="2" width="13.140625" customWidth="1"/>
    <col min="4" max="4" width="11.5703125" customWidth="1"/>
    <col min="5" max="6" width="11.7109375" customWidth="1"/>
    <col min="8" max="8" width="11.5703125" customWidth="1"/>
    <col min="9" max="9" width="14" customWidth="1"/>
  </cols>
  <sheetData>
    <row r="1" spans="1:21" ht="26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3" t="s">
        <v>11</v>
      </c>
      <c r="I1" s="7">
        <v>43344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3" t="s">
        <v>6</v>
      </c>
      <c r="B2" s="4">
        <v>6</v>
      </c>
      <c r="C2" s="3">
        <v>9520</v>
      </c>
      <c r="D2" s="3">
        <f>B2*C2</f>
        <v>57120</v>
      </c>
      <c r="E2" s="6">
        <f>D2/$I$2</f>
        <v>885.03253796095441</v>
      </c>
      <c r="F2" s="6">
        <f>D2/$I$3</f>
        <v>784.39989014007153</v>
      </c>
      <c r="G2" s="1"/>
      <c r="H2" s="3" t="s">
        <v>12</v>
      </c>
      <c r="I2" s="8">
        <v>64.540000000000006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3" t="s">
        <v>7</v>
      </c>
      <c r="B3" s="4">
        <v>11</v>
      </c>
      <c r="C3" s="3">
        <v>7638</v>
      </c>
      <c r="D3" s="3">
        <f t="shared" ref="D3:D5" si="0">B3*C3</f>
        <v>84018</v>
      </c>
      <c r="E3" s="6">
        <f t="shared" ref="E3:E5" si="1">D3/$I$2</f>
        <v>1301.7973349860549</v>
      </c>
      <c r="F3" s="6">
        <f t="shared" ref="F3:F5" si="2">D3/$I$3</f>
        <v>1153.7764350453174</v>
      </c>
      <c r="G3" s="1"/>
      <c r="H3" s="3" t="s">
        <v>13</v>
      </c>
      <c r="I3" s="8">
        <v>72.819999999999993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8</v>
      </c>
      <c r="B4" s="4">
        <v>23</v>
      </c>
      <c r="C4" s="3">
        <v>589</v>
      </c>
      <c r="D4" s="3">
        <f t="shared" si="0"/>
        <v>13547</v>
      </c>
      <c r="E4" s="6">
        <f t="shared" si="1"/>
        <v>209.90083669042451</v>
      </c>
      <c r="F4" s="6">
        <f t="shared" si="2"/>
        <v>186.03405657786325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3" t="s">
        <v>9</v>
      </c>
      <c r="B5" s="4">
        <v>8</v>
      </c>
      <c r="C5" s="3">
        <v>816</v>
      </c>
      <c r="D5" s="3">
        <f t="shared" si="0"/>
        <v>6528</v>
      </c>
      <c r="E5" s="6">
        <f t="shared" si="1"/>
        <v>101.14657576696621</v>
      </c>
      <c r="F5" s="6">
        <f t="shared" si="2"/>
        <v>89.645701730293879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5" t="s">
        <v>10</v>
      </c>
      <c r="B6" s="3">
        <f>SUM(B2:B5)</f>
        <v>48</v>
      </c>
      <c r="C6" s="3">
        <f>SUM(C2:C5)</f>
        <v>18563</v>
      </c>
      <c r="D6" s="3">
        <f>SUM(D2:D5)</f>
        <v>161213</v>
      </c>
      <c r="E6" s="6">
        <f t="shared" ref="E6:F6" si="3">SUM(E2:E5)</f>
        <v>2497.8772854044</v>
      </c>
      <c r="F6" s="6">
        <f t="shared" si="3"/>
        <v>2213.8560834935461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K13" sqref="K13"/>
    </sheetView>
  </sheetViews>
  <sheetFormatPr defaultRowHeight="15" x14ac:dyDescent="0.25"/>
  <cols>
    <col min="1" max="1" width="14.5703125" customWidth="1"/>
    <col min="3" max="3" width="13.28515625" customWidth="1"/>
    <col min="4" max="4" width="12.42578125" customWidth="1"/>
    <col min="5" max="5" width="12.140625" customWidth="1"/>
    <col min="6" max="6" width="31.42578125" customWidth="1"/>
    <col min="10" max="10" width="14.7109375" customWidth="1"/>
  </cols>
  <sheetData>
    <row r="1" spans="1:13" ht="15.75" thickBot="1" x14ac:dyDescent="0.3">
      <c r="A1" s="9" t="s">
        <v>14</v>
      </c>
      <c r="B1" s="10" t="s">
        <v>15</v>
      </c>
      <c r="C1" s="11"/>
      <c r="D1" s="12" t="s">
        <v>16</v>
      </c>
      <c r="E1" s="13"/>
      <c r="F1" s="12" t="s">
        <v>17</v>
      </c>
      <c r="G1" s="13"/>
      <c r="H1" s="23" t="s">
        <v>25</v>
      </c>
      <c r="I1" s="1"/>
      <c r="J1" s="1"/>
      <c r="K1" s="1"/>
      <c r="L1" s="1"/>
      <c r="M1" s="1"/>
    </row>
    <row r="2" spans="1:13" ht="39" thickBot="1" x14ac:dyDescent="0.3">
      <c r="A2" s="14"/>
      <c r="B2" s="15" t="s">
        <v>26</v>
      </c>
      <c r="C2" s="15" t="s">
        <v>18</v>
      </c>
      <c r="D2" s="15" t="s">
        <v>26</v>
      </c>
      <c r="E2" s="15" t="s">
        <v>18</v>
      </c>
      <c r="F2" s="24" t="s">
        <v>23</v>
      </c>
      <c r="G2" s="15" t="s">
        <v>24</v>
      </c>
      <c r="H2" s="16"/>
      <c r="I2" s="1"/>
      <c r="J2" s="1"/>
      <c r="K2" s="1"/>
      <c r="L2" s="1"/>
      <c r="M2" s="1"/>
    </row>
    <row r="3" spans="1:13" ht="15.75" thickBot="1" x14ac:dyDescent="0.3">
      <c r="A3" s="17"/>
      <c r="B3" s="26">
        <v>15</v>
      </c>
      <c r="C3" s="27">
        <v>12</v>
      </c>
      <c r="D3" s="19"/>
      <c r="E3" s="19"/>
      <c r="F3" s="19"/>
      <c r="G3" s="19"/>
      <c r="H3" s="17"/>
      <c r="I3" s="1"/>
      <c r="J3" s="3" t="s">
        <v>38</v>
      </c>
      <c r="K3" s="3">
        <v>71.180000000000007</v>
      </c>
      <c r="L3" s="1"/>
      <c r="M3" s="1"/>
    </row>
    <row r="4" spans="1:13" ht="15.75" thickBot="1" x14ac:dyDescent="0.3">
      <c r="A4" s="17" t="s">
        <v>27</v>
      </c>
      <c r="B4" s="27">
        <v>18</v>
      </c>
      <c r="C4" s="26">
        <v>17</v>
      </c>
      <c r="D4" s="19">
        <f>B4-B3</f>
        <v>3</v>
      </c>
      <c r="E4" s="19">
        <f>C4-C3</f>
        <v>5</v>
      </c>
      <c r="F4" s="19">
        <f>($K$3*D4)+($K$5*(D4+E4))</f>
        <v>2280.1</v>
      </c>
      <c r="G4" s="19">
        <f>$K$4*E4</f>
        <v>303.60000000000002</v>
      </c>
      <c r="H4" s="17">
        <f>F4+G4</f>
        <v>2583.6999999999998</v>
      </c>
      <c r="I4" s="1"/>
      <c r="J4" s="3" t="s">
        <v>39</v>
      </c>
      <c r="K4" s="3">
        <v>60.72</v>
      </c>
      <c r="L4" s="1"/>
      <c r="M4" s="1"/>
    </row>
    <row r="5" spans="1:13" ht="15.75" thickBot="1" x14ac:dyDescent="0.3">
      <c r="A5" s="17" t="s">
        <v>28</v>
      </c>
      <c r="B5" s="28">
        <v>20</v>
      </c>
      <c r="C5" s="26">
        <v>23</v>
      </c>
      <c r="D5" s="19">
        <f t="shared" ref="D5:D15" si="0">B5-B4</f>
        <v>2</v>
      </c>
      <c r="E5" s="19">
        <f t="shared" ref="E5:E15" si="1">C5-C4</f>
        <v>6</v>
      </c>
      <c r="F5" s="19">
        <f t="shared" ref="F5:F16" si="2">($K$3*D5)+($K$5*(D5+E5))</f>
        <v>2208.92</v>
      </c>
      <c r="G5" s="19">
        <f t="shared" ref="G5:G16" si="3">$K$4*E5</f>
        <v>364.32</v>
      </c>
      <c r="H5" s="17">
        <f t="shared" ref="H5:H16" si="4">F5+G5</f>
        <v>2573.2400000000002</v>
      </c>
      <c r="I5" s="1"/>
      <c r="J5" s="3" t="s">
        <v>40</v>
      </c>
      <c r="K5" s="3">
        <v>258.32</v>
      </c>
      <c r="L5" s="1"/>
      <c r="M5" s="1"/>
    </row>
    <row r="6" spans="1:13" ht="15.75" thickBot="1" x14ac:dyDescent="0.3">
      <c r="A6" s="17" t="s">
        <v>29</v>
      </c>
      <c r="B6" s="26">
        <v>24</v>
      </c>
      <c r="C6" s="26">
        <v>32</v>
      </c>
      <c r="D6" s="19">
        <f t="shared" si="0"/>
        <v>4</v>
      </c>
      <c r="E6" s="19">
        <f t="shared" si="1"/>
        <v>9</v>
      </c>
      <c r="F6" s="19">
        <f t="shared" si="2"/>
        <v>3642.88</v>
      </c>
      <c r="G6" s="19">
        <f t="shared" si="3"/>
        <v>546.48</v>
      </c>
      <c r="H6" s="17">
        <f t="shared" si="4"/>
        <v>4189.3600000000006</v>
      </c>
      <c r="I6" s="1"/>
      <c r="J6" s="1"/>
      <c r="K6" s="1"/>
      <c r="L6" s="1"/>
      <c r="M6" s="1"/>
    </row>
    <row r="7" spans="1:13" ht="15.75" thickBot="1" x14ac:dyDescent="0.3">
      <c r="A7" s="17" t="s">
        <v>30</v>
      </c>
      <c r="B7" s="26">
        <v>27</v>
      </c>
      <c r="C7" s="26">
        <v>38</v>
      </c>
      <c r="D7" s="19">
        <f t="shared" si="0"/>
        <v>3</v>
      </c>
      <c r="E7" s="19">
        <f t="shared" si="1"/>
        <v>6</v>
      </c>
      <c r="F7" s="19">
        <f t="shared" si="2"/>
        <v>2538.42</v>
      </c>
      <c r="G7" s="19">
        <f t="shared" si="3"/>
        <v>364.32</v>
      </c>
      <c r="H7" s="17">
        <f t="shared" si="4"/>
        <v>2902.7400000000002</v>
      </c>
      <c r="I7" s="1"/>
      <c r="J7" s="1"/>
      <c r="K7" s="1"/>
      <c r="L7" s="1"/>
      <c r="M7" s="1"/>
    </row>
    <row r="8" spans="1:13" ht="15.75" thickBot="1" x14ac:dyDescent="0.3">
      <c r="A8" s="18" t="s">
        <v>31</v>
      </c>
      <c r="B8" s="27">
        <v>29</v>
      </c>
      <c r="C8" s="27">
        <v>41</v>
      </c>
      <c r="D8" s="19">
        <f t="shared" si="0"/>
        <v>2</v>
      </c>
      <c r="E8" s="19">
        <f t="shared" si="1"/>
        <v>3</v>
      </c>
      <c r="F8" s="19">
        <f t="shared" si="2"/>
        <v>1433.96</v>
      </c>
      <c r="G8" s="19">
        <f t="shared" si="3"/>
        <v>182.16</v>
      </c>
      <c r="H8" s="17">
        <f t="shared" si="4"/>
        <v>1616.1200000000001</v>
      </c>
      <c r="I8" s="1"/>
      <c r="J8" s="1"/>
      <c r="K8" s="1"/>
      <c r="L8" s="1"/>
      <c r="M8" s="1"/>
    </row>
    <row r="9" spans="1:13" ht="15.75" thickBot="1" x14ac:dyDescent="0.3">
      <c r="A9" s="17" t="s">
        <v>32</v>
      </c>
      <c r="B9" s="26">
        <v>32</v>
      </c>
      <c r="C9" s="26">
        <v>45</v>
      </c>
      <c r="D9" s="19">
        <f t="shared" si="0"/>
        <v>3</v>
      </c>
      <c r="E9" s="19">
        <f t="shared" si="1"/>
        <v>4</v>
      </c>
      <c r="F9" s="19">
        <f t="shared" si="2"/>
        <v>2021.78</v>
      </c>
      <c r="G9" s="19">
        <f t="shared" si="3"/>
        <v>242.88</v>
      </c>
      <c r="H9" s="17">
        <f t="shared" si="4"/>
        <v>2264.66</v>
      </c>
      <c r="I9" s="1"/>
      <c r="J9" s="1"/>
      <c r="K9" s="1"/>
      <c r="L9" s="1"/>
      <c r="M9" s="1"/>
    </row>
    <row r="10" spans="1:13" ht="15.75" thickBot="1" x14ac:dyDescent="0.3">
      <c r="A10" s="17" t="s">
        <v>33</v>
      </c>
      <c r="B10" s="26">
        <v>35</v>
      </c>
      <c r="C10" s="26">
        <v>45</v>
      </c>
      <c r="D10" s="19">
        <f t="shared" si="0"/>
        <v>3</v>
      </c>
      <c r="E10" s="19">
        <f t="shared" si="1"/>
        <v>0</v>
      </c>
      <c r="F10" s="19">
        <f t="shared" si="2"/>
        <v>988.5</v>
      </c>
      <c r="G10" s="19">
        <f t="shared" si="3"/>
        <v>0</v>
      </c>
      <c r="H10" s="17">
        <f t="shared" si="4"/>
        <v>988.5</v>
      </c>
      <c r="I10" s="1"/>
      <c r="J10" s="1"/>
      <c r="K10" s="1"/>
      <c r="L10" s="1"/>
      <c r="M10" s="1"/>
    </row>
    <row r="11" spans="1:13" ht="15.75" thickBot="1" x14ac:dyDescent="0.3">
      <c r="A11" s="17" t="s">
        <v>34</v>
      </c>
      <c r="B11" s="26">
        <v>39</v>
      </c>
      <c r="C11" s="26">
        <v>53</v>
      </c>
      <c r="D11" s="19">
        <f t="shared" si="0"/>
        <v>4</v>
      </c>
      <c r="E11" s="19">
        <f t="shared" si="1"/>
        <v>8</v>
      </c>
      <c r="F11" s="19">
        <f t="shared" si="2"/>
        <v>3384.5600000000004</v>
      </c>
      <c r="G11" s="19">
        <f t="shared" si="3"/>
        <v>485.76</v>
      </c>
      <c r="H11" s="17">
        <f t="shared" si="4"/>
        <v>3870.3200000000006</v>
      </c>
      <c r="I11" s="1"/>
      <c r="J11" s="1"/>
      <c r="K11" s="1"/>
      <c r="L11" s="1"/>
      <c r="M11" s="1"/>
    </row>
    <row r="12" spans="1:13" ht="15.75" thickBot="1" x14ac:dyDescent="0.3">
      <c r="A12" s="17" t="s">
        <v>35</v>
      </c>
      <c r="B12" s="26">
        <v>42</v>
      </c>
      <c r="C12" s="27">
        <v>60</v>
      </c>
      <c r="D12" s="19">
        <f t="shared" si="0"/>
        <v>3</v>
      </c>
      <c r="E12" s="19">
        <f t="shared" si="1"/>
        <v>7</v>
      </c>
      <c r="F12" s="19">
        <f t="shared" si="2"/>
        <v>2796.74</v>
      </c>
      <c r="G12" s="19">
        <f t="shared" si="3"/>
        <v>425.03999999999996</v>
      </c>
      <c r="H12" s="17">
        <f t="shared" si="4"/>
        <v>3221.7799999999997</v>
      </c>
      <c r="I12" s="1"/>
      <c r="J12" s="1"/>
      <c r="K12" s="1"/>
      <c r="L12" s="1"/>
      <c r="M12" s="1"/>
    </row>
    <row r="13" spans="1:13" ht="15.75" thickBot="1" x14ac:dyDescent="0.3">
      <c r="A13" s="17" t="s">
        <v>36</v>
      </c>
      <c r="B13" s="26">
        <v>44</v>
      </c>
      <c r="C13" s="26">
        <v>65</v>
      </c>
      <c r="D13" s="19">
        <f t="shared" si="0"/>
        <v>2</v>
      </c>
      <c r="E13" s="19">
        <f t="shared" si="1"/>
        <v>5</v>
      </c>
      <c r="F13" s="19">
        <f t="shared" si="2"/>
        <v>1950.6</v>
      </c>
      <c r="G13" s="19">
        <f t="shared" si="3"/>
        <v>303.60000000000002</v>
      </c>
      <c r="H13" s="17">
        <f t="shared" si="4"/>
        <v>2254.1999999999998</v>
      </c>
      <c r="I13" s="1"/>
      <c r="J13" s="1"/>
      <c r="K13" s="1"/>
      <c r="L13" s="1"/>
      <c r="M13" s="1"/>
    </row>
    <row r="14" spans="1:13" ht="15.75" thickBot="1" x14ac:dyDescent="0.3">
      <c r="A14" s="17" t="s">
        <v>37</v>
      </c>
      <c r="B14" s="26">
        <v>47</v>
      </c>
      <c r="C14" s="26">
        <v>71</v>
      </c>
      <c r="D14" s="19">
        <f t="shared" si="0"/>
        <v>3</v>
      </c>
      <c r="E14" s="19">
        <f t="shared" si="1"/>
        <v>6</v>
      </c>
      <c r="F14" s="19">
        <f t="shared" si="2"/>
        <v>2538.42</v>
      </c>
      <c r="G14" s="19">
        <f t="shared" si="3"/>
        <v>364.32</v>
      </c>
      <c r="H14" s="17">
        <f t="shared" si="4"/>
        <v>2902.7400000000002</v>
      </c>
      <c r="I14" s="1"/>
      <c r="J14" s="1"/>
      <c r="K14" s="1"/>
      <c r="L14" s="1"/>
      <c r="M14" s="1"/>
    </row>
    <row r="15" spans="1:13" ht="15.75" thickBot="1" x14ac:dyDescent="0.3">
      <c r="A15" s="17" t="s">
        <v>19</v>
      </c>
      <c r="B15" s="26">
        <v>50</v>
      </c>
      <c r="C15" s="26">
        <v>75</v>
      </c>
      <c r="D15" s="19">
        <f t="shared" si="0"/>
        <v>3</v>
      </c>
      <c r="E15" s="19">
        <f t="shared" si="1"/>
        <v>4</v>
      </c>
      <c r="F15" s="19">
        <f t="shared" si="2"/>
        <v>2021.78</v>
      </c>
      <c r="G15" s="19">
        <f t="shared" si="3"/>
        <v>242.88</v>
      </c>
      <c r="H15" s="17">
        <f t="shared" si="4"/>
        <v>2264.66</v>
      </c>
      <c r="I15" s="1"/>
      <c r="J15" s="1"/>
      <c r="K15" s="1"/>
      <c r="L15" s="1"/>
      <c r="M15" s="1"/>
    </row>
    <row r="16" spans="1:13" ht="15.75" thickBot="1" x14ac:dyDescent="0.3">
      <c r="A16" s="10" t="s">
        <v>22</v>
      </c>
      <c r="B16" s="20"/>
      <c r="C16" s="11"/>
      <c r="D16" s="19">
        <f>SUM(D4:D15)</f>
        <v>35</v>
      </c>
      <c r="E16" s="19">
        <f>SUM(E4:E15)</f>
        <v>63</v>
      </c>
      <c r="F16" s="19">
        <f>SUM(F4:F15)</f>
        <v>27806.659999999996</v>
      </c>
      <c r="G16" s="19">
        <f>SUM(G4:G15)</f>
        <v>3825.3600000000006</v>
      </c>
      <c r="H16" s="17">
        <f>SUM(H4:H15)</f>
        <v>31632.02</v>
      </c>
      <c r="I16" s="1"/>
      <c r="J16" s="1"/>
      <c r="K16" s="1"/>
      <c r="L16" s="1"/>
      <c r="M16" s="1"/>
    </row>
    <row r="17" spans="1:13" ht="15.75" thickBot="1" x14ac:dyDescent="0.3">
      <c r="A17" s="25" t="s">
        <v>20</v>
      </c>
      <c r="B17" s="21"/>
      <c r="C17" s="22"/>
      <c r="D17" s="29">
        <f>AVERAGE(D4:D15)</f>
        <v>2.9166666666666665</v>
      </c>
      <c r="E17" s="29">
        <f t="shared" ref="E17:H17" si="5">AVERAGE(E4:E15)</f>
        <v>5.25</v>
      </c>
      <c r="F17" s="29">
        <f t="shared" si="5"/>
        <v>2317.2216666666664</v>
      </c>
      <c r="G17" s="29">
        <f t="shared" si="5"/>
        <v>318.78000000000003</v>
      </c>
      <c r="H17" s="29">
        <f t="shared" si="5"/>
        <v>2636.0016666666666</v>
      </c>
      <c r="I17" s="1"/>
      <c r="J17" s="1"/>
      <c r="K17" s="1"/>
      <c r="L17" s="1"/>
      <c r="M17" s="1"/>
    </row>
    <row r="18" spans="1:13" ht="15.75" thickBot="1" x14ac:dyDescent="0.3">
      <c r="A18" s="25" t="s">
        <v>21</v>
      </c>
      <c r="B18" s="21"/>
      <c r="C18" s="22"/>
      <c r="D18" s="19">
        <f>MAX(D4:D15)</f>
        <v>4</v>
      </c>
      <c r="E18" s="19">
        <f t="shared" ref="E18:H18" si="6">MAX(E4:E15)</f>
        <v>9</v>
      </c>
      <c r="F18" s="19">
        <f t="shared" si="6"/>
        <v>3642.88</v>
      </c>
      <c r="G18" s="19">
        <f t="shared" si="6"/>
        <v>546.48</v>
      </c>
      <c r="H18" s="19">
        <f t="shared" si="6"/>
        <v>4189.3600000000006</v>
      </c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</sheetData>
  <mergeCells count="8">
    <mergeCell ref="A16:C16"/>
    <mergeCell ref="A17:C17"/>
    <mergeCell ref="A1:A2"/>
    <mergeCell ref="B1:C1"/>
    <mergeCell ref="D1:E1"/>
    <mergeCell ref="F1:G1"/>
    <mergeCell ref="H1:H2"/>
    <mergeCell ref="A18:C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0"/>
  <sheetViews>
    <sheetView workbookViewId="0">
      <selection activeCell="D4" sqref="D4"/>
    </sheetView>
  </sheetViews>
  <sheetFormatPr defaultRowHeight="15" x14ac:dyDescent="0.25"/>
  <cols>
    <col min="4" max="4" width="9.7109375" customWidth="1"/>
  </cols>
  <sheetData>
    <row r="1" spans="1:30" x14ac:dyDescent="0.25">
      <c r="A1" s="31" t="s">
        <v>45</v>
      </c>
      <c r="B1" s="32"/>
      <c r="C1" s="32"/>
      <c r="D1" s="32"/>
      <c r="E1" s="3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37" t="s">
        <v>46</v>
      </c>
      <c r="B2" s="38"/>
      <c r="C2" s="38"/>
      <c r="D2" s="38"/>
      <c r="E2" s="39"/>
      <c r="F2" s="1"/>
      <c r="G2" s="34" t="s">
        <v>41</v>
      </c>
      <c r="H2" s="35"/>
      <c r="I2" s="3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30" t="s">
        <v>47</v>
      </c>
      <c r="B3" s="30" t="s">
        <v>48</v>
      </c>
      <c r="C3" s="30" t="s">
        <v>49</v>
      </c>
      <c r="D3" s="30" t="s">
        <v>50</v>
      </c>
      <c r="E3" s="30" t="s">
        <v>51</v>
      </c>
      <c r="F3" s="1"/>
      <c r="G3" s="3" t="s">
        <v>42</v>
      </c>
      <c r="H3" s="3" t="s">
        <v>43</v>
      </c>
      <c r="I3" s="3" t="s">
        <v>44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3">
        <v>1</v>
      </c>
      <c r="B4" s="3">
        <v>-2</v>
      </c>
      <c r="C4" s="3">
        <f>B4^2</f>
        <v>4</v>
      </c>
      <c r="D4" s="3">
        <f>SIN($H$4*B4)</f>
        <v>0.27941549819892586</v>
      </c>
      <c r="E4" s="3">
        <f>D4*(((C4-1)/(C4+1))^2)</f>
        <v>0.10058957935161331</v>
      </c>
      <c r="F4" s="1"/>
      <c r="G4" s="3">
        <v>-2</v>
      </c>
      <c r="H4" s="3">
        <v>3</v>
      </c>
      <c r="I4" s="3">
        <v>0.5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3">
        <v>2</v>
      </c>
      <c r="B5" s="3">
        <v>-1.5</v>
      </c>
      <c r="C5" s="3">
        <f t="shared" ref="C5:C12" si="0">B5^2</f>
        <v>2.25</v>
      </c>
      <c r="D5" s="3">
        <f t="shared" ref="D5:D12" si="1">SIN($H$4*B5)</f>
        <v>0.97753011766509701</v>
      </c>
      <c r="E5" s="3">
        <f t="shared" ref="E5:E12" si="2">D5*(((C5-1)/(C5+1))^2)</f>
        <v>0.14460504699187826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3">
        <v>3</v>
      </c>
      <c r="B6" s="3">
        <v>-1</v>
      </c>
      <c r="C6" s="3">
        <f t="shared" si="0"/>
        <v>1</v>
      </c>
      <c r="D6" s="3">
        <f t="shared" si="1"/>
        <v>-0.14112000805986721</v>
      </c>
      <c r="E6" s="3">
        <f t="shared" si="2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3">
        <v>4</v>
      </c>
      <c r="B7" s="3">
        <v>-0.5</v>
      </c>
      <c r="C7" s="3">
        <f t="shared" si="0"/>
        <v>0.25</v>
      </c>
      <c r="D7" s="3">
        <f t="shared" si="1"/>
        <v>-0.99749498660405445</v>
      </c>
      <c r="E7" s="3">
        <f t="shared" si="2"/>
        <v>-0.35909819517745961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3">
        <v>5</v>
      </c>
      <c r="B8" s="3">
        <v>0</v>
      </c>
      <c r="C8" s="3">
        <f t="shared" si="0"/>
        <v>0</v>
      </c>
      <c r="D8" s="3">
        <f t="shared" si="1"/>
        <v>0</v>
      </c>
      <c r="E8" s="3">
        <f t="shared" si="2"/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3">
        <v>6</v>
      </c>
      <c r="B9" s="3">
        <v>0.5</v>
      </c>
      <c r="C9" s="3">
        <f t="shared" si="0"/>
        <v>0.25</v>
      </c>
      <c r="D9" s="3">
        <f t="shared" si="1"/>
        <v>0.99749498660405445</v>
      </c>
      <c r="E9" s="3">
        <f t="shared" si="2"/>
        <v>0.35909819517745961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3">
        <v>7</v>
      </c>
      <c r="B10" s="3">
        <v>1</v>
      </c>
      <c r="C10" s="3">
        <f t="shared" si="0"/>
        <v>1</v>
      </c>
      <c r="D10" s="3">
        <f t="shared" si="1"/>
        <v>0.14112000805986721</v>
      </c>
      <c r="E10" s="3">
        <f t="shared" si="2"/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5">
      <c r="A11" s="3">
        <v>8</v>
      </c>
      <c r="B11" s="3">
        <v>1.5</v>
      </c>
      <c r="C11" s="3">
        <f t="shared" si="0"/>
        <v>2.25</v>
      </c>
      <c r="D11" s="3">
        <f t="shared" si="1"/>
        <v>-0.97753011766509701</v>
      </c>
      <c r="E11" s="3">
        <f t="shared" si="2"/>
        <v>-0.14460504699187826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3">
        <v>9</v>
      </c>
      <c r="B12" s="3">
        <v>2</v>
      </c>
      <c r="C12" s="3">
        <f t="shared" si="0"/>
        <v>4</v>
      </c>
      <c r="D12" s="3">
        <f t="shared" si="1"/>
        <v>-0.27941549819892586</v>
      </c>
      <c r="E12" s="3">
        <f t="shared" si="2"/>
        <v>-0.10058957935161331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</sheetData>
  <mergeCells count="3">
    <mergeCell ref="G2:I2"/>
    <mergeCell ref="A1:E1"/>
    <mergeCell ref="A2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 x14ac:dyDescent="0.25"/>
  <sheetData>
    <row r="1" spans="1:13" ht="26.25" x14ac:dyDescent="0.25">
      <c r="A1" s="43" t="s">
        <v>52</v>
      </c>
      <c r="B1" s="1">
        <v>0</v>
      </c>
      <c r="C1" s="1">
        <v>0.2</v>
      </c>
      <c r="D1" s="1">
        <v>0.4</v>
      </c>
      <c r="E1" s="1">
        <v>0.6</v>
      </c>
      <c r="F1" s="1">
        <v>0.8</v>
      </c>
      <c r="G1" s="1">
        <v>1</v>
      </c>
      <c r="H1" s="1">
        <v>1.2</v>
      </c>
      <c r="I1" s="1">
        <v>1.4</v>
      </c>
      <c r="J1" s="1">
        <v>1.6</v>
      </c>
      <c r="K1" s="1">
        <v>1.8</v>
      </c>
      <c r="L1" s="1">
        <v>2</v>
      </c>
      <c r="M1" s="1"/>
    </row>
    <row r="2" spans="1:13" x14ac:dyDescent="0.25">
      <c r="A2" s="1">
        <v>0</v>
      </c>
      <c r="B2" s="1">
        <f>((B$1+$A2)/((B$1^2+$A2^2)+0.5))</f>
        <v>0</v>
      </c>
      <c r="C2" s="1">
        <f>((C$1+$A2)/((C$1^2+$A2^2)+0.5))</f>
        <v>0.37037037037037035</v>
      </c>
      <c r="D2" s="1">
        <f>((D$1+$A2)/((D$1^2+$A2^2)+0.5))</f>
        <v>0.60606060606060608</v>
      </c>
      <c r="E2" s="1">
        <f t="shared" ref="E2:L12" si="0">((E$1+$A2)/((E$1^2+$A2^2)+0.5))</f>
        <v>0.69767441860465118</v>
      </c>
      <c r="F2" s="1">
        <f t="shared" si="0"/>
        <v>0.70175438596491224</v>
      </c>
      <c r="G2" s="1">
        <f t="shared" si="0"/>
        <v>0.66666666666666663</v>
      </c>
      <c r="H2" s="1">
        <f t="shared" si="0"/>
        <v>0.61855670103092786</v>
      </c>
      <c r="I2" s="1">
        <f t="shared" si="0"/>
        <v>0.56910569105691056</v>
      </c>
      <c r="J2" s="1">
        <f t="shared" si="0"/>
        <v>0.52287581699346397</v>
      </c>
      <c r="K2" s="1">
        <f t="shared" si="0"/>
        <v>0.48128342245989303</v>
      </c>
      <c r="L2" s="1">
        <f t="shared" si="0"/>
        <v>0.44444444444444442</v>
      </c>
      <c r="M2" s="1"/>
    </row>
    <row r="3" spans="1:13" x14ac:dyDescent="0.25">
      <c r="A3" s="1">
        <v>0.2</v>
      </c>
      <c r="B3" s="1">
        <f t="shared" ref="B3:B12" si="1">((B$1+$A3)/((B$1^2+$A3^2)+0.5))</f>
        <v>0.37037037037037035</v>
      </c>
      <c r="C3" s="1">
        <f t="shared" ref="C3:D12" si="2">((C$1+$A3)/((C$1^2+$A3^2)+0.5))</f>
        <v>0.68965517241379304</v>
      </c>
      <c r="D3" s="1">
        <f t="shared" si="2"/>
        <v>0.85714285714285721</v>
      </c>
      <c r="E3" s="1">
        <f t="shared" si="0"/>
        <v>0.88888888888888895</v>
      </c>
      <c r="F3" s="1">
        <f t="shared" si="0"/>
        <v>0.84745762711864392</v>
      </c>
      <c r="G3" s="1">
        <f t="shared" si="0"/>
        <v>0.77922077922077915</v>
      </c>
      <c r="H3" s="1">
        <f t="shared" si="0"/>
        <v>0.70707070707070707</v>
      </c>
      <c r="I3" s="1">
        <f t="shared" si="0"/>
        <v>0.6399999999999999</v>
      </c>
      <c r="J3" s="1">
        <f t="shared" si="0"/>
        <v>0.58064516129032251</v>
      </c>
      <c r="K3" s="1">
        <f t="shared" si="0"/>
        <v>0.52910052910052907</v>
      </c>
      <c r="L3" s="1">
        <f t="shared" si="0"/>
        <v>0.48458149779735687</v>
      </c>
      <c r="M3" s="1"/>
    </row>
    <row r="4" spans="1:13" x14ac:dyDescent="0.25">
      <c r="A4" s="1">
        <v>0.4</v>
      </c>
      <c r="B4" s="1">
        <f t="shared" si="1"/>
        <v>0.60606060606060608</v>
      </c>
      <c r="C4" s="1">
        <f t="shared" si="2"/>
        <v>0.85714285714285721</v>
      </c>
      <c r="D4" s="1">
        <f t="shared" si="2"/>
        <v>0.97560975609756095</v>
      </c>
      <c r="E4" s="1">
        <f t="shared" si="0"/>
        <v>0.98039215686274506</v>
      </c>
      <c r="F4" s="1">
        <f t="shared" si="0"/>
        <v>0.92307692307692302</v>
      </c>
      <c r="G4" s="1">
        <f t="shared" si="0"/>
        <v>0.84337349397590344</v>
      </c>
      <c r="H4" s="1">
        <f t="shared" si="0"/>
        <v>0.76190476190476186</v>
      </c>
      <c r="I4" s="1">
        <f t="shared" si="0"/>
        <v>0.68702290076335881</v>
      </c>
      <c r="J4" s="1">
        <f t="shared" si="0"/>
        <v>0.62111801242236009</v>
      </c>
      <c r="K4" s="1">
        <f t="shared" si="0"/>
        <v>0.5641025641025641</v>
      </c>
      <c r="L4" s="1">
        <f t="shared" si="0"/>
        <v>0.51502145922746778</v>
      </c>
      <c r="M4" s="1"/>
    </row>
    <row r="5" spans="1:13" x14ac:dyDescent="0.25">
      <c r="A5" s="1">
        <v>0.6</v>
      </c>
      <c r="B5" s="1">
        <f t="shared" si="1"/>
        <v>0.69767441860465118</v>
      </c>
      <c r="C5" s="1">
        <f t="shared" si="2"/>
        <v>0.88888888888888895</v>
      </c>
      <c r="D5" s="1">
        <f t="shared" si="2"/>
        <v>0.98039215686274506</v>
      </c>
      <c r="E5" s="1">
        <f t="shared" si="0"/>
        <v>0.98360655737704916</v>
      </c>
      <c r="F5" s="1">
        <f t="shared" si="0"/>
        <v>0.93333333333333324</v>
      </c>
      <c r="G5" s="1">
        <f t="shared" si="0"/>
        <v>0.86021505376344098</v>
      </c>
      <c r="H5" s="1">
        <f t="shared" si="0"/>
        <v>0.78260869565217395</v>
      </c>
      <c r="I5" s="1">
        <f t="shared" si="0"/>
        <v>0.70921985815602839</v>
      </c>
      <c r="J5" s="1">
        <f t="shared" si="0"/>
        <v>0.64327485380116955</v>
      </c>
      <c r="K5" s="1">
        <f t="shared" si="0"/>
        <v>0.58536585365853666</v>
      </c>
      <c r="L5" s="1">
        <f t="shared" si="0"/>
        <v>0.53497942386831276</v>
      </c>
      <c r="M5" s="1"/>
    </row>
    <row r="6" spans="1:13" x14ac:dyDescent="0.25">
      <c r="A6" s="1">
        <v>0.8</v>
      </c>
      <c r="B6" s="1">
        <f t="shared" si="1"/>
        <v>0.70175438596491224</v>
      </c>
      <c r="C6" s="1">
        <f t="shared" si="2"/>
        <v>0.84745762711864392</v>
      </c>
      <c r="D6" s="1">
        <f t="shared" si="2"/>
        <v>0.92307692307692302</v>
      </c>
      <c r="E6" s="1">
        <f t="shared" si="0"/>
        <v>0.93333333333333324</v>
      </c>
      <c r="F6" s="1">
        <f t="shared" si="0"/>
        <v>0.898876404494382</v>
      </c>
      <c r="G6" s="1">
        <f t="shared" si="0"/>
        <v>0.84112149532710279</v>
      </c>
      <c r="H6" s="1">
        <f t="shared" si="0"/>
        <v>0.77519379844961234</v>
      </c>
      <c r="I6" s="1">
        <f t="shared" si="0"/>
        <v>0.70967741935483886</v>
      </c>
      <c r="J6" s="1">
        <f t="shared" si="0"/>
        <v>0.64864864864864868</v>
      </c>
      <c r="K6" s="1">
        <f t="shared" si="0"/>
        <v>0.59360730593607303</v>
      </c>
      <c r="L6" s="1">
        <f t="shared" si="0"/>
        <v>0.54474708171206221</v>
      </c>
      <c r="M6" s="1"/>
    </row>
    <row r="7" spans="1:13" x14ac:dyDescent="0.25">
      <c r="A7" s="1">
        <v>1</v>
      </c>
      <c r="B7" s="1">
        <f t="shared" si="1"/>
        <v>0.66666666666666663</v>
      </c>
      <c r="C7" s="1">
        <f t="shared" si="2"/>
        <v>0.77922077922077915</v>
      </c>
      <c r="D7" s="1">
        <f t="shared" si="2"/>
        <v>0.84337349397590344</v>
      </c>
      <c r="E7" s="1">
        <f t="shared" si="0"/>
        <v>0.86021505376344098</v>
      </c>
      <c r="F7" s="1">
        <f t="shared" si="0"/>
        <v>0.84112149532710279</v>
      </c>
      <c r="G7" s="1">
        <f t="shared" si="0"/>
        <v>0.8</v>
      </c>
      <c r="H7" s="1">
        <f t="shared" si="0"/>
        <v>0.74829931972789121</v>
      </c>
      <c r="I7" s="1">
        <f t="shared" si="0"/>
        <v>0.69364161849710981</v>
      </c>
      <c r="J7" s="1">
        <f t="shared" si="0"/>
        <v>0.64039408866995073</v>
      </c>
      <c r="K7" s="1">
        <f t="shared" si="0"/>
        <v>0.59071729957805896</v>
      </c>
      <c r="L7" s="1">
        <f t="shared" si="0"/>
        <v>0.54545454545454541</v>
      </c>
      <c r="M7" s="1"/>
    </row>
    <row r="8" spans="1:13" x14ac:dyDescent="0.25">
      <c r="A8" s="1">
        <v>1.2</v>
      </c>
      <c r="B8" s="1">
        <f t="shared" si="1"/>
        <v>0.61855670103092786</v>
      </c>
      <c r="C8" s="1">
        <f t="shared" si="2"/>
        <v>0.70707070707070707</v>
      </c>
      <c r="D8" s="1">
        <f t="shared" si="2"/>
        <v>0.76190476190476186</v>
      </c>
      <c r="E8" s="1">
        <f t="shared" si="0"/>
        <v>0.78260869565217395</v>
      </c>
      <c r="F8" s="1">
        <f t="shared" si="0"/>
        <v>0.77519379844961234</v>
      </c>
      <c r="G8" s="1">
        <f t="shared" si="0"/>
        <v>0.74829931972789121</v>
      </c>
      <c r="H8" s="1">
        <f t="shared" si="0"/>
        <v>0.7100591715976331</v>
      </c>
      <c r="I8" s="1">
        <f t="shared" si="0"/>
        <v>0.66666666666666663</v>
      </c>
      <c r="J8" s="1">
        <f t="shared" si="0"/>
        <v>0.62222222222222223</v>
      </c>
      <c r="K8" s="1">
        <f t="shared" si="0"/>
        <v>0.57915057915057921</v>
      </c>
      <c r="L8" s="1">
        <f t="shared" si="0"/>
        <v>0.53872053872053882</v>
      </c>
      <c r="M8" s="1"/>
    </row>
    <row r="9" spans="1:13" x14ac:dyDescent="0.25">
      <c r="A9" s="1">
        <v>1.4</v>
      </c>
      <c r="B9" s="1">
        <f t="shared" si="1"/>
        <v>0.56910569105691056</v>
      </c>
      <c r="C9" s="1">
        <f t="shared" si="2"/>
        <v>0.6399999999999999</v>
      </c>
      <c r="D9" s="1">
        <f t="shared" si="2"/>
        <v>0.68702290076335881</v>
      </c>
      <c r="E9" s="1">
        <f t="shared" si="0"/>
        <v>0.70921985815602839</v>
      </c>
      <c r="F9" s="1">
        <f t="shared" si="0"/>
        <v>0.70967741935483886</v>
      </c>
      <c r="G9" s="1">
        <f t="shared" si="0"/>
        <v>0.69364161849710981</v>
      </c>
      <c r="H9" s="1">
        <f t="shared" si="0"/>
        <v>0.66666666666666663</v>
      </c>
      <c r="I9" s="1">
        <f t="shared" si="0"/>
        <v>0.63348416289592757</v>
      </c>
      <c r="J9" s="1">
        <f t="shared" si="0"/>
        <v>0.59760956175298796</v>
      </c>
      <c r="K9" s="1">
        <f t="shared" si="0"/>
        <v>0.56140350877192979</v>
      </c>
      <c r="L9" s="1">
        <f t="shared" si="0"/>
        <v>0.52631578947368418</v>
      </c>
      <c r="M9" s="1"/>
    </row>
    <row r="10" spans="1:13" x14ac:dyDescent="0.25">
      <c r="A10" s="1">
        <v>1.6</v>
      </c>
      <c r="B10" s="1">
        <f t="shared" si="1"/>
        <v>0.52287581699346397</v>
      </c>
      <c r="C10" s="1">
        <f t="shared" si="2"/>
        <v>0.58064516129032251</v>
      </c>
      <c r="D10" s="1">
        <f t="shared" si="2"/>
        <v>0.62111801242236009</v>
      </c>
      <c r="E10" s="1">
        <f t="shared" si="0"/>
        <v>0.64327485380116955</v>
      </c>
      <c r="F10" s="1">
        <f t="shared" si="0"/>
        <v>0.64864864864864868</v>
      </c>
      <c r="G10" s="1">
        <f t="shared" si="0"/>
        <v>0.64039408866995073</v>
      </c>
      <c r="H10" s="1">
        <f t="shared" si="0"/>
        <v>0.62222222222222223</v>
      </c>
      <c r="I10" s="1">
        <f t="shared" si="0"/>
        <v>0.59760956175298796</v>
      </c>
      <c r="J10" s="1">
        <f t="shared" si="0"/>
        <v>0.56939501779359425</v>
      </c>
      <c r="K10" s="1">
        <f t="shared" si="0"/>
        <v>0.53968253968253965</v>
      </c>
      <c r="L10" s="1">
        <f t="shared" si="0"/>
        <v>0.50991501416430596</v>
      </c>
      <c r="M10" s="1"/>
    </row>
    <row r="11" spans="1:13" x14ac:dyDescent="0.25">
      <c r="A11" s="1">
        <v>1.8</v>
      </c>
      <c r="B11" s="1">
        <f t="shared" si="1"/>
        <v>0.48128342245989303</v>
      </c>
      <c r="C11" s="1">
        <f t="shared" si="2"/>
        <v>0.52910052910052907</v>
      </c>
      <c r="D11" s="1">
        <f t="shared" si="2"/>
        <v>0.5641025641025641</v>
      </c>
      <c r="E11" s="1">
        <f t="shared" si="0"/>
        <v>0.58536585365853666</v>
      </c>
      <c r="F11" s="1">
        <f t="shared" si="0"/>
        <v>0.59360730593607303</v>
      </c>
      <c r="G11" s="1">
        <f t="shared" si="0"/>
        <v>0.59071729957805896</v>
      </c>
      <c r="H11" s="1">
        <f t="shared" si="0"/>
        <v>0.57915057915057921</v>
      </c>
      <c r="I11" s="1">
        <f t="shared" si="0"/>
        <v>0.56140350877192979</v>
      </c>
      <c r="J11" s="1">
        <f t="shared" si="0"/>
        <v>0.53968253968253965</v>
      </c>
      <c r="K11" s="1">
        <f t="shared" si="0"/>
        <v>0.51575931232091687</v>
      </c>
      <c r="L11" s="1">
        <f t="shared" si="0"/>
        <v>0.49095607235142114</v>
      </c>
      <c r="M11" s="1"/>
    </row>
    <row r="12" spans="1:13" x14ac:dyDescent="0.25">
      <c r="A12" s="1">
        <v>2</v>
      </c>
      <c r="B12" s="1">
        <f t="shared" si="1"/>
        <v>0.44444444444444442</v>
      </c>
      <c r="C12" s="1">
        <f t="shared" si="2"/>
        <v>0.48458149779735687</v>
      </c>
      <c r="D12" s="1">
        <f t="shared" si="2"/>
        <v>0.51502145922746778</v>
      </c>
      <c r="E12" s="1">
        <f t="shared" si="0"/>
        <v>0.53497942386831276</v>
      </c>
      <c r="F12" s="1">
        <f t="shared" si="0"/>
        <v>0.54474708171206221</v>
      </c>
      <c r="G12" s="1">
        <f t="shared" si="0"/>
        <v>0.54545454545454541</v>
      </c>
      <c r="H12" s="1">
        <f t="shared" si="0"/>
        <v>0.53872053872053882</v>
      </c>
      <c r="I12" s="1">
        <f t="shared" si="0"/>
        <v>0.52631578947368418</v>
      </c>
      <c r="J12" s="1">
        <f t="shared" si="0"/>
        <v>0.50991501416430596</v>
      </c>
      <c r="K12" s="1">
        <f t="shared" si="0"/>
        <v>0.49095607235142114</v>
      </c>
      <c r="L12" s="1">
        <f t="shared" si="0"/>
        <v>0.47058823529411764</v>
      </c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6.25" x14ac:dyDescent="0.25">
      <c r="A14" s="43" t="s">
        <v>52</v>
      </c>
      <c r="B14" s="1">
        <v>1</v>
      </c>
      <c r="C14" s="1">
        <v>1.5</v>
      </c>
      <c r="D14" s="1">
        <v>2</v>
      </c>
      <c r="E14" s="1">
        <v>2.5</v>
      </c>
      <c r="F14" s="1">
        <v>3</v>
      </c>
      <c r="G14" s="1"/>
      <c r="H14" s="1"/>
      <c r="I14" s="1"/>
      <c r="J14" s="1"/>
      <c r="K14" s="1"/>
      <c r="L14" s="1"/>
      <c r="M14" s="1"/>
    </row>
    <row r="15" spans="1:13" x14ac:dyDescent="0.25">
      <c r="A15" s="1">
        <v>0.5</v>
      </c>
      <c r="B15" s="1">
        <f>EXP(B$14)/(ABS(COS(B$14)-SIN(B$14))+2*B$14-$A15)</f>
        <v>1.5091767141204897</v>
      </c>
      <c r="C15" s="1">
        <f>EXP(C$14)/(ABS(COS(C$14)-SIN(C$14))+2*C$14-$A15)</f>
        <v>1.3078511384840428</v>
      </c>
      <c r="D15" s="1">
        <f t="shared" ref="D15:F19" si="3">EXP(D$14)/(ABS(COS(D$14)-SIN(D$14))+2*D$14-$A15)</f>
        <v>1.5312695983283304</v>
      </c>
      <c r="E15" s="1">
        <f t="shared" si="3"/>
        <v>2.064963966640494</v>
      </c>
      <c r="F15" s="1">
        <f t="shared" si="3"/>
        <v>3.0289844892650599</v>
      </c>
      <c r="G15" s="1"/>
      <c r="H15" s="1"/>
      <c r="I15" s="1"/>
      <c r="J15" s="1"/>
      <c r="K15" s="1"/>
      <c r="L15" s="1"/>
      <c r="M15" s="1"/>
    </row>
    <row r="16" spans="1:13" x14ac:dyDescent="0.25">
      <c r="A16" s="1">
        <v>1</v>
      </c>
      <c r="B16" s="1">
        <f t="shared" ref="B16:C19" si="4">EXP(B$14)/(ABS(COS(B$14)-SIN(B$14))+2*B$14-$A16)</f>
        <v>2.0891079476905392</v>
      </c>
      <c r="C16" s="1">
        <f t="shared" si="4"/>
        <v>1.5312811649138667</v>
      </c>
      <c r="D16" s="1">
        <f t="shared" si="3"/>
        <v>1.708276803263888</v>
      </c>
      <c r="E16" s="1">
        <f t="shared" si="3"/>
        <v>2.2561779398708781</v>
      </c>
      <c r="F16" s="1">
        <f t="shared" si="3"/>
        <v>3.2760020156081748</v>
      </c>
      <c r="G16" s="1"/>
      <c r="H16" s="1"/>
      <c r="I16" s="1"/>
      <c r="J16" s="1"/>
      <c r="K16" s="1"/>
      <c r="L16" s="1"/>
      <c r="M16" s="1"/>
    </row>
    <row r="17" spans="1:13" x14ac:dyDescent="0.25">
      <c r="A17" s="1">
        <v>1.5</v>
      </c>
      <c r="B17" s="1">
        <f t="shared" si="4"/>
        <v>3.3928957782727363</v>
      </c>
      <c r="C17" s="1">
        <f t="shared" si="4"/>
        <v>1.8467805473448224</v>
      </c>
      <c r="D17" s="1">
        <f t="shared" si="3"/>
        <v>1.9315550273933033</v>
      </c>
      <c r="E17" s="1">
        <f t="shared" si="3"/>
        <v>2.4864182332476426</v>
      </c>
      <c r="F17" s="1">
        <f t="shared" si="3"/>
        <v>3.5668861004934396</v>
      </c>
      <c r="G17" s="1"/>
      <c r="H17" s="1"/>
      <c r="I17" s="1"/>
      <c r="J17" s="1"/>
      <c r="K17" s="1"/>
      <c r="L17" s="1"/>
      <c r="M17" s="1"/>
    </row>
    <row r="18" spans="1:13" x14ac:dyDescent="0.25">
      <c r="A18" s="1">
        <v>2</v>
      </c>
      <c r="B18" s="1">
        <f t="shared" si="4"/>
        <v>9.025778636837563</v>
      </c>
      <c r="C18" s="1">
        <f t="shared" si="4"/>
        <v>2.3260261904098716</v>
      </c>
      <c r="D18" s="1">
        <f t="shared" si="3"/>
        <v>2.2219756260284806</v>
      </c>
      <c r="E18" s="1">
        <f t="shared" si="3"/>
        <v>2.7689904360352946</v>
      </c>
      <c r="F18" s="1">
        <f t="shared" si="3"/>
        <v>3.9144604420474232</v>
      </c>
      <c r="G18" s="1"/>
      <c r="H18" s="1"/>
      <c r="I18" s="1"/>
      <c r="J18" s="1"/>
      <c r="K18" s="1"/>
      <c r="L18" s="1"/>
      <c r="M18" s="1"/>
    </row>
    <row r="19" spans="1:13" x14ac:dyDescent="0.25">
      <c r="A19" s="1">
        <v>2.5</v>
      </c>
      <c r="B19" s="1">
        <f t="shared" si="4"/>
        <v>-13.67129592040199</v>
      </c>
      <c r="C19" s="1">
        <f t="shared" si="4"/>
        <v>3.1411702236045582</v>
      </c>
      <c r="D19" s="1">
        <f t="shared" si="3"/>
        <v>2.6151838118760464</v>
      </c>
      <c r="E19" s="1">
        <f t="shared" si="3"/>
        <v>3.1240241889355018</v>
      </c>
      <c r="F19" s="1">
        <f t="shared" si="3"/>
        <v>4.3370868021399795</v>
      </c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2"/>
  <sheetViews>
    <sheetView workbookViewId="0">
      <selection activeCell="I12" sqref="I12"/>
    </sheetView>
  </sheetViews>
  <sheetFormatPr defaultRowHeight="15" x14ac:dyDescent="0.25"/>
  <cols>
    <col min="1" max="1" width="11.140625" customWidth="1"/>
    <col min="4" max="4" width="12.7109375" customWidth="1"/>
  </cols>
  <sheetData>
    <row r="1" spans="1:26" ht="26.25" x14ac:dyDescent="0.25">
      <c r="A1" s="40" t="s">
        <v>53</v>
      </c>
      <c r="B1" s="40" t="s">
        <v>54</v>
      </c>
      <c r="C1" s="40" t="s">
        <v>55</v>
      </c>
      <c r="D1" s="41" t="s">
        <v>56</v>
      </c>
      <c r="E1" s="40" t="s">
        <v>17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57</v>
      </c>
      <c r="B2" s="1">
        <v>23</v>
      </c>
      <c r="C2" s="42">
        <v>54</v>
      </c>
      <c r="D2" s="1" t="b">
        <f>IF(B2&gt;50,"есть")</f>
        <v>0</v>
      </c>
      <c r="E2" s="1">
        <f>IF(D2="есть",B2*C2*0.85,B2*C2)</f>
        <v>1242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58</v>
      </c>
      <c r="B3" s="1">
        <v>3</v>
      </c>
      <c r="C3" s="42">
        <v>63</v>
      </c>
      <c r="D3" s="1" t="b">
        <f t="shared" ref="D3:D11" si="0">IF(B3&gt;50,"есть")</f>
        <v>0</v>
      </c>
      <c r="E3" s="1">
        <f t="shared" ref="E3:E11" si="1">IF(D3="есть",B3*C3*0.85,B3*C3)</f>
        <v>189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59</v>
      </c>
      <c r="B4" s="1">
        <v>10</v>
      </c>
      <c r="C4" s="42">
        <v>92</v>
      </c>
      <c r="D4" s="1" t="b">
        <f t="shared" si="0"/>
        <v>0</v>
      </c>
      <c r="E4" s="1">
        <f t="shared" si="1"/>
        <v>920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60</v>
      </c>
      <c r="B5" s="1">
        <v>28</v>
      </c>
      <c r="C5" s="42">
        <v>57</v>
      </c>
      <c r="D5" s="1" t="b">
        <f t="shared" si="0"/>
        <v>0</v>
      </c>
      <c r="E5" s="1">
        <f t="shared" si="1"/>
        <v>1596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61</v>
      </c>
      <c r="B6" s="1">
        <v>77</v>
      </c>
      <c r="C6" s="42">
        <v>84</v>
      </c>
      <c r="D6" s="1" t="str">
        <f t="shared" si="0"/>
        <v>есть</v>
      </c>
      <c r="E6" s="1">
        <f t="shared" si="1"/>
        <v>5497.8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62</v>
      </c>
      <c r="B7" s="1">
        <v>3</v>
      </c>
      <c r="C7" s="42">
        <v>107</v>
      </c>
      <c r="D7" s="1" t="b">
        <f t="shared" si="0"/>
        <v>0</v>
      </c>
      <c r="E7" s="1">
        <f t="shared" si="1"/>
        <v>321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63</v>
      </c>
      <c r="B8" s="1">
        <v>75</v>
      </c>
      <c r="C8" s="42">
        <v>125</v>
      </c>
      <c r="D8" s="1" t="str">
        <f t="shared" si="0"/>
        <v>есть</v>
      </c>
      <c r="E8" s="1">
        <f t="shared" si="1"/>
        <v>7968.75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64</v>
      </c>
      <c r="B9" s="1">
        <v>18</v>
      </c>
      <c r="C9" s="42">
        <v>89</v>
      </c>
      <c r="D9" s="1" t="b">
        <f t="shared" si="0"/>
        <v>0</v>
      </c>
      <c r="E9" s="1">
        <f t="shared" si="1"/>
        <v>1602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65</v>
      </c>
      <c r="B10" s="1">
        <v>28</v>
      </c>
      <c r="C10" s="42">
        <v>78</v>
      </c>
      <c r="D10" s="1" t="b">
        <f t="shared" si="0"/>
        <v>0</v>
      </c>
      <c r="E10" s="1">
        <f t="shared" si="1"/>
        <v>2184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66</v>
      </c>
      <c r="B11" s="1">
        <v>97</v>
      </c>
      <c r="C11" s="42">
        <v>69</v>
      </c>
      <c r="D11" s="1" t="str">
        <f t="shared" si="0"/>
        <v>есть</v>
      </c>
      <c r="E11" s="1">
        <f t="shared" si="1"/>
        <v>5689.05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D2" sqref="D2"/>
    </sheetView>
  </sheetViews>
  <sheetFormatPr defaultRowHeight="15" x14ac:dyDescent="0.25"/>
  <cols>
    <col min="2" max="2" width="10.85546875" customWidth="1"/>
    <col min="3" max="3" width="12.7109375" customWidth="1"/>
  </cols>
  <sheetData>
    <row r="1" spans="1:7" x14ac:dyDescent="0.25">
      <c r="A1" s="3"/>
      <c r="B1" s="3" t="s">
        <v>67</v>
      </c>
      <c r="C1" s="3" t="s">
        <v>68</v>
      </c>
      <c r="D1" s="1"/>
      <c r="E1" s="3" t="s">
        <v>48</v>
      </c>
      <c r="F1" s="3" t="s">
        <v>51</v>
      </c>
      <c r="G1" s="1"/>
    </row>
    <row r="2" spans="1:7" x14ac:dyDescent="0.25">
      <c r="A2" s="3"/>
      <c r="B2" s="4" t="s">
        <v>69</v>
      </c>
      <c r="C2" s="3" t="s">
        <v>71</v>
      </c>
      <c r="D2" s="1"/>
      <c r="E2" s="3">
        <v>-3</v>
      </c>
      <c r="F2" s="3">
        <f>IF(E2&lt;0,EXP(E2),IF(E2&lt;=2,1,4/(E2/2)))</f>
        <v>4.9787068367863944E-2</v>
      </c>
      <c r="G2" s="1"/>
    </row>
    <row r="3" spans="1:7" x14ac:dyDescent="0.25">
      <c r="A3" s="3" t="s">
        <v>51</v>
      </c>
      <c r="B3" s="4">
        <v>1</v>
      </c>
      <c r="C3" s="3" t="s">
        <v>72</v>
      </c>
      <c r="D3" s="1"/>
      <c r="E3" s="3">
        <v>-2.5</v>
      </c>
      <c r="F3" s="3">
        <f t="shared" ref="F3:F14" si="0">IF(E3&lt;0,EXP(E3),IF(E3&lt;=2,1,4/(E3/2)))</f>
        <v>8.20849986238988E-2</v>
      </c>
      <c r="G3" s="1"/>
    </row>
    <row r="4" spans="1:7" x14ac:dyDescent="0.25">
      <c r="A4" s="3"/>
      <c r="B4" s="4" t="s">
        <v>70</v>
      </c>
      <c r="C4" s="3" t="s">
        <v>73</v>
      </c>
      <c r="D4" s="1"/>
      <c r="E4" s="3">
        <v>-2</v>
      </c>
      <c r="F4" s="3">
        <f t="shared" si="0"/>
        <v>0.1353352832366127</v>
      </c>
      <c r="G4" s="1"/>
    </row>
    <row r="5" spans="1:7" x14ac:dyDescent="0.25">
      <c r="A5" s="1"/>
      <c r="B5" s="1"/>
      <c r="C5" s="1"/>
      <c r="D5" s="1"/>
      <c r="E5" s="3">
        <v>-1.5</v>
      </c>
      <c r="F5" s="3">
        <f t="shared" si="0"/>
        <v>0.22313016014842982</v>
      </c>
      <c r="G5" s="1"/>
    </row>
    <row r="6" spans="1:7" x14ac:dyDescent="0.25">
      <c r="A6" s="1"/>
      <c r="B6" s="1"/>
      <c r="C6" s="1"/>
      <c r="D6" s="1"/>
      <c r="E6" s="3">
        <v>-1</v>
      </c>
      <c r="F6" s="3">
        <f t="shared" si="0"/>
        <v>0.36787944117144233</v>
      </c>
      <c r="G6" s="1"/>
    </row>
    <row r="7" spans="1:7" x14ac:dyDescent="0.25">
      <c r="A7" s="1"/>
      <c r="B7" s="1"/>
      <c r="C7" s="1"/>
      <c r="D7" s="1"/>
      <c r="E7" s="3">
        <v>-0.5</v>
      </c>
      <c r="F7" s="3">
        <f t="shared" si="0"/>
        <v>0.60653065971263342</v>
      </c>
      <c r="G7" s="1"/>
    </row>
    <row r="8" spans="1:7" x14ac:dyDescent="0.25">
      <c r="A8" s="1"/>
      <c r="B8" s="1"/>
      <c r="C8" s="1"/>
      <c r="D8" s="1"/>
      <c r="E8" s="3">
        <v>0</v>
      </c>
      <c r="F8" s="3">
        <f t="shared" si="0"/>
        <v>1</v>
      </c>
      <c r="G8" s="1"/>
    </row>
    <row r="9" spans="1:7" x14ac:dyDescent="0.25">
      <c r="A9" s="1"/>
      <c r="B9" s="1"/>
      <c r="C9" s="1"/>
      <c r="D9" s="1"/>
      <c r="E9" s="3">
        <v>0.5</v>
      </c>
      <c r="F9" s="3">
        <f t="shared" si="0"/>
        <v>1</v>
      </c>
      <c r="G9" s="1"/>
    </row>
    <row r="10" spans="1:7" x14ac:dyDescent="0.25">
      <c r="A10" s="1"/>
      <c r="B10" s="1"/>
      <c r="C10" s="1"/>
      <c r="D10" s="1"/>
      <c r="E10" s="3">
        <v>1</v>
      </c>
      <c r="F10" s="3">
        <f t="shared" si="0"/>
        <v>1</v>
      </c>
      <c r="G10" s="1"/>
    </row>
    <row r="11" spans="1:7" x14ac:dyDescent="0.25">
      <c r="A11" s="1"/>
      <c r="B11" s="1"/>
      <c r="C11" s="1"/>
      <c r="D11" s="1"/>
      <c r="E11" s="3">
        <v>1.5</v>
      </c>
      <c r="F11" s="3">
        <f t="shared" si="0"/>
        <v>1</v>
      </c>
      <c r="G11" s="1"/>
    </row>
    <row r="12" spans="1:7" x14ac:dyDescent="0.25">
      <c r="A12" s="1"/>
      <c r="B12" s="1"/>
      <c r="C12" s="1"/>
      <c r="D12" s="1"/>
      <c r="E12" s="3">
        <v>2</v>
      </c>
      <c r="F12" s="3">
        <f t="shared" si="0"/>
        <v>1</v>
      </c>
      <c r="G12" s="1"/>
    </row>
    <row r="13" spans="1:7" x14ac:dyDescent="0.25">
      <c r="A13" s="1"/>
      <c r="B13" s="1"/>
      <c r="C13" s="1"/>
      <c r="D13" s="1"/>
      <c r="E13" s="3">
        <v>2.5</v>
      </c>
      <c r="F13" s="3">
        <f t="shared" si="0"/>
        <v>3.2</v>
      </c>
      <c r="G13" s="1"/>
    </row>
    <row r="14" spans="1:7" x14ac:dyDescent="0.25">
      <c r="A14" s="1"/>
      <c r="B14" s="1"/>
      <c r="C14" s="1"/>
      <c r="D14" s="1"/>
      <c r="E14" s="3">
        <v>3</v>
      </c>
      <c r="F14" s="3">
        <f t="shared" si="0"/>
        <v>2.6666666666666665</v>
      </c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workbookViewId="0">
      <selection activeCell="D11" sqref="D11"/>
    </sheetView>
  </sheetViews>
  <sheetFormatPr defaultRowHeight="15" x14ac:dyDescent="0.25"/>
  <sheetData>
    <row r="1" spans="1:17" ht="26.25" x14ac:dyDescent="0.25">
      <c r="A1" s="44" t="s">
        <v>52</v>
      </c>
      <c r="B1" s="3">
        <v>0</v>
      </c>
      <c r="C1" s="3">
        <v>0.2</v>
      </c>
      <c r="D1" s="3">
        <v>0.4</v>
      </c>
      <c r="E1" s="3">
        <v>0.6</v>
      </c>
      <c r="F1" s="3">
        <v>0.8</v>
      </c>
      <c r="G1" s="3">
        <v>1</v>
      </c>
      <c r="H1" s="1"/>
      <c r="I1" s="44" t="s">
        <v>52</v>
      </c>
      <c r="J1" s="3">
        <v>0</v>
      </c>
      <c r="K1" s="3">
        <v>0.5</v>
      </c>
      <c r="L1" s="3">
        <v>1</v>
      </c>
      <c r="M1" s="3">
        <v>1.5</v>
      </c>
      <c r="N1" s="3">
        <v>2</v>
      </c>
      <c r="O1" s="1"/>
      <c r="P1" s="1"/>
      <c r="Q1" s="1"/>
    </row>
    <row r="2" spans="1:17" x14ac:dyDescent="0.25">
      <c r="A2" s="3">
        <v>0</v>
      </c>
      <c r="B2" s="3">
        <f>IF(B$1&lt;$A2,SQRT(1+B$1),2*($A2^2)-0.5*B$1)</f>
        <v>0</v>
      </c>
      <c r="C2" s="3">
        <f>IF(C$1&lt;$A2,SQRT(1+C$1),2*($A2^2)-0.5*C$1)</f>
        <v>-0.1</v>
      </c>
      <c r="D2" s="3">
        <f t="shared" ref="D2:G7" si="0">IF(D$1&lt;$A2,SQRT(1+D$1),2*($A2^2)-0.5*D$1)</f>
        <v>-0.2</v>
      </c>
      <c r="E2" s="3">
        <f t="shared" si="0"/>
        <v>-0.3</v>
      </c>
      <c r="F2" s="3">
        <f t="shared" si="0"/>
        <v>-0.4</v>
      </c>
      <c r="G2" s="3">
        <f t="shared" si="0"/>
        <v>-0.5</v>
      </c>
      <c r="H2" s="1"/>
      <c r="I2" s="3">
        <v>0</v>
      </c>
      <c r="J2" s="3">
        <f>IF(J$1^2+$I2^2&lt;=1,-1,IF(J$1^2+$I2^2&lt;=2,0,1))</f>
        <v>-1</v>
      </c>
      <c r="K2" s="3">
        <f t="shared" ref="K2:N6" si="1">IF(K$1^2+$I2^2&lt;=1,-1,IF(K$1^2+$I2^2&lt;=2,0,1))</f>
        <v>-1</v>
      </c>
      <c r="L2" s="3">
        <f t="shared" si="1"/>
        <v>-1</v>
      </c>
      <c r="M2" s="3">
        <f t="shared" si="1"/>
        <v>1</v>
      </c>
      <c r="N2" s="3">
        <f t="shared" si="1"/>
        <v>1</v>
      </c>
      <c r="O2" s="1"/>
      <c r="P2" s="1"/>
      <c r="Q2" s="1"/>
    </row>
    <row r="3" spans="1:17" x14ac:dyDescent="0.25">
      <c r="A3" s="3">
        <v>0.2</v>
      </c>
      <c r="B3" s="3">
        <f t="shared" ref="B3:C7" si="2">IF(B$1&lt;$A3,SQRT(1+B$1),2*($A3^2)-0.5*B$1)</f>
        <v>1</v>
      </c>
      <c r="C3" s="3">
        <f t="shared" si="2"/>
        <v>-1.999999999999999E-2</v>
      </c>
      <c r="D3" s="3">
        <f t="shared" si="0"/>
        <v>-0.12</v>
      </c>
      <c r="E3" s="3">
        <f t="shared" si="0"/>
        <v>-0.21999999999999997</v>
      </c>
      <c r="F3" s="3">
        <f t="shared" si="0"/>
        <v>-0.32</v>
      </c>
      <c r="G3" s="3">
        <f t="shared" si="0"/>
        <v>-0.42</v>
      </c>
      <c r="H3" s="1"/>
      <c r="I3" s="3">
        <v>0.5</v>
      </c>
      <c r="J3" s="3">
        <f t="shared" ref="J3:J6" si="3">IF(J$1^2+$I3^2&lt;=1,-1,IF(J$1^2+$I3^2&lt;=2,0,1))</f>
        <v>-1</v>
      </c>
      <c r="K3" s="3">
        <f t="shared" si="1"/>
        <v>-1</v>
      </c>
      <c r="L3" s="3">
        <f t="shared" si="1"/>
        <v>0</v>
      </c>
      <c r="M3" s="3">
        <f t="shared" si="1"/>
        <v>1</v>
      </c>
      <c r="N3" s="3">
        <f t="shared" si="1"/>
        <v>1</v>
      </c>
      <c r="O3" s="1"/>
      <c r="P3" s="1"/>
      <c r="Q3" s="1"/>
    </row>
    <row r="4" spans="1:17" x14ac:dyDescent="0.25">
      <c r="A4" s="3">
        <v>0.4</v>
      </c>
      <c r="B4" s="3">
        <f t="shared" si="2"/>
        <v>1</v>
      </c>
      <c r="C4" s="3">
        <f t="shared" si="2"/>
        <v>1.0954451150103321</v>
      </c>
      <c r="D4" s="3">
        <f t="shared" si="0"/>
        <v>0.12000000000000005</v>
      </c>
      <c r="E4" s="3">
        <f t="shared" si="0"/>
        <v>2.0000000000000073E-2</v>
      </c>
      <c r="F4" s="3">
        <f t="shared" si="0"/>
        <v>-7.999999999999996E-2</v>
      </c>
      <c r="G4" s="3">
        <f t="shared" si="0"/>
        <v>-0.17999999999999994</v>
      </c>
      <c r="H4" s="1"/>
      <c r="I4" s="3">
        <v>1</v>
      </c>
      <c r="J4" s="3">
        <f t="shared" si="3"/>
        <v>-1</v>
      </c>
      <c r="K4" s="3">
        <f t="shared" si="1"/>
        <v>0</v>
      </c>
      <c r="L4" s="3">
        <f t="shared" si="1"/>
        <v>0</v>
      </c>
      <c r="M4" s="3">
        <f t="shared" si="1"/>
        <v>1</v>
      </c>
      <c r="N4" s="3">
        <f t="shared" si="1"/>
        <v>1</v>
      </c>
      <c r="O4" s="1"/>
      <c r="P4" s="1"/>
      <c r="Q4" s="1"/>
    </row>
    <row r="5" spans="1:17" x14ac:dyDescent="0.25">
      <c r="A5" s="3">
        <v>0.6</v>
      </c>
      <c r="B5" s="3">
        <f t="shared" si="2"/>
        <v>1</v>
      </c>
      <c r="C5" s="3">
        <f t="shared" si="2"/>
        <v>1.0954451150103321</v>
      </c>
      <c r="D5" s="3">
        <f t="shared" si="0"/>
        <v>1.1832159566199232</v>
      </c>
      <c r="E5" s="3">
        <f t="shared" si="0"/>
        <v>0.42</v>
      </c>
      <c r="F5" s="3">
        <f t="shared" si="0"/>
        <v>0.31999999999999995</v>
      </c>
      <c r="G5" s="3">
        <f t="shared" si="0"/>
        <v>0.21999999999999997</v>
      </c>
      <c r="H5" s="1"/>
      <c r="I5" s="3">
        <v>1.5</v>
      </c>
      <c r="J5" s="3">
        <f t="shared" si="3"/>
        <v>1</v>
      </c>
      <c r="K5" s="3">
        <f t="shared" si="1"/>
        <v>1</v>
      </c>
      <c r="L5" s="3">
        <f t="shared" si="1"/>
        <v>1</v>
      </c>
      <c r="M5" s="3">
        <f t="shared" si="1"/>
        <v>1</v>
      </c>
      <c r="N5" s="3">
        <f t="shared" si="1"/>
        <v>1</v>
      </c>
      <c r="O5" s="1"/>
      <c r="P5" s="1"/>
      <c r="Q5" s="1"/>
    </row>
    <row r="6" spans="1:17" x14ac:dyDescent="0.25">
      <c r="A6" s="3">
        <v>0.8</v>
      </c>
      <c r="B6" s="3">
        <f t="shared" si="2"/>
        <v>1</v>
      </c>
      <c r="C6" s="3">
        <f t="shared" si="2"/>
        <v>1.0954451150103321</v>
      </c>
      <c r="D6" s="3">
        <f t="shared" si="0"/>
        <v>1.1832159566199232</v>
      </c>
      <c r="E6" s="3">
        <f t="shared" si="0"/>
        <v>1.2649110640673518</v>
      </c>
      <c r="F6" s="3">
        <f t="shared" si="0"/>
        <v>0.88000000000000023</v>
      </c>
      <c r="G6" s="3">
        <f t="shared" si="0"/>
        <v>0.78000000000000025</v>
      </c>
      <c r="H6" s="1"/>
      <c r="I6" s="3">
        <v>2</v>
      </c>
      <c r="J6" s="3">
        <f t="shared" si="3"/>
        <v>1</v>
      </c>
      <c r="K6" s="3">
        <f t="shared" si="1"/>
        <v>1</v>
      </c>
      <c r="L6" s="3">
        <f t="shared" si="1"/>
        <v>1</v>
      </c>
      <c r="M6" s="3">
        <f t="shared" si="1"/>
        <v>1</v>
      </c>
      <c r="N6" s="3">
        <f t="shared" si="1"/>
        <v>1</v>
      </c>
      <c r="O6" s="1"/>
      <c r="P6" s="1"/>
      <c r="Q6" s="1"/>
    </row>
    <row r="7" spans="1:17" x14ac:dyDescent="0.25">
      <c r="A7" s="3">
        <v>1</v>
      </c>
      <c r="B7" s="3">
        <f t="shared" si="2"/>
        <v>1</v>
      </c>
      <c r="C7" s="3">
        <f t="shared" si="2"/>
        <v>1.0954451150103321</v>
      </c>
      <c r="D7" s="3">
        <f t="shared" si="0"/>
        <v>1.1832159566199232</v>
      </c>
      <c r="E7" s="3">
        <f t="shared" si="0"/>
        <v>1.2649110640673518</v>
      </c>
      <c r="F7" s="3">
        <f t="shared" si="0"/>
        <v>1.3416407864998738</v>
      </c>
      <c r="G7" s="3">
        <f t="shared" si="0"/>
        <v>1.5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2026-10-16T11:50:41Z</dcterms:modified>
</cp:coreProperties>
</file>