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udent\Downloads\lab_informatics-master\lab_informatics-master\lab3\"/>
    </mc:Choice>
  </mc:AlternateContent>
  <bookViews>
    <workbookView xWindow="0" yWindow="0" windowWidth="12555" windowHeight="3195" activeTab="1"/>
  </bookViews>
  <sheets>
    <sheet name="Лист1" sheetId="1" r:id="rId1"/>
    <sheet name="Лист2" sheetId="2" r:id="rId2"/>
    <sheet name="Лист3" sheetId="3" r:id="rId3"/>
    <sheet name="Лист4" sheetId="4" r:id="rId4"/>
    <sheet name="Лист5" sheetId="5" r:id="rId5"/>
    <sheet name="Лист6" sheetId="6" r:id="rId6"/>
    <sheet name="Лист7" sheetId="7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3" i="2"/>
  <c r="B6" i="7" l="1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5" i="7"/>
  <c r="E6" i="6" l="1"/>
  <c r="E8" i="6"/>
  <c r="E7" i="6"/>
  <c r="E5" i="6"/>
  <c r="E4" i="6"/>
  <c r="E3" i="6"/>
  <c r="E2" i="6"/>
  <c r="C3" i="5"/>
  <c r="C4" i="5"/>
  <c r="C5" i="5"/>
  <c r="C6" i="5"/>
  <c r="C2" i="5"/>
  <c r="B12" i="4"/>
  <c r="B11" i="4"/>
  <c r="C10" i="4"/>
  <c r="B10" i="4"/>
  <c r="C9" i="4"/>
  <c r="B9" i="4"/>
  <c r="C8" i="4"/>
  <c r="B8" i="4"/>
  <c r="B4" i="3"/>
  <c r="B3" i="3"/>
  <c r="B1" i="3"/>
  <c r="B2" i="3" s="1"/>
  <c r="E14" i="1"/>
  <c r="E13" i="1"/>
  <c r="E12" i="1"/>
  <c r="E11" i="1"/>
  <c r="E10" i="1"/>
  <c r="B5" i="3" l="1"/>
</calcChain>
</file>

<file path=xl/sharedStrings.xml><?xml version="1.0" encoding="utf-8"?>
<sst xmlns="http://schemas.openxmlformats.org/spreadsheetml/2006/main" count="98" uniqueCount="70">
  <si>
    <t>ВЫЧИСЛЕНИЯ ПО ФОРМУЛАМ С ИСПОЛЬЗОВАНИЕМ ВСТРОЕННЫХ МАТЕМАТИЧЕСКИХ ФУНКЦИЙ</t>
  </si>
  <si>
    <t>Пример 1</t>
  </si>
  <si>
    <t>Вычислить объем и площадь поверхности конуса, если заданы его высота и радиус основания с точностью до четвертого десятичного знака</t>
  </si>
  <si>
    <t>Введем обозначения</t>
  </si>
  <si>
    <t>Результаты</t>
  </si>
  <si>
    <t>Образующая конуса l =</t>
  </si>
  <si>
    <t>Плошадь основания конуса S₀ =</t>
  </si>
  <si>
    <t>Площадь поверености конуса S =</t>
  </si>
  <si>
    <r>
      <rPr>
        <b/>
        <sz val="10"/>
        <rFont val="Times New Roman"/>
        <family val="1"/>
        <charset val="204"/>
      </rPr>
      <t>Объем конуса V =</t>
    </r>
  </si>
  <si>
    <r>
      <rPr>
        <b/>
        <sz val="10"/>
        <rFont val="Times New Roman"/>
        <family val="1"/>
        <charset val="204"/>
      </rPr>
      <t>Формулы для вычисления</t>
    </r>
  </si>
  <si>
    <t>Площадь боковой поверености конуса S₁ =</t>
  </si>
  <si>
    <t>Высота h =</t>
  </si>
  <si>
    <t>Радиус R =</t>
  </si>
  <si>
    <t>м</t>
  </si>
  <si>
    <t>Мне лет:</t>
  </si>
  <si>
    <t>День недели даты рождения:</t>
  </si>
  <si>
    <t>Дата, наступившая после 39 месяцев после вашего рождения:</t>
  </si>
  <si>
    <t>Номер недели по текущей дате:</t>
  </si>
  <si>
    <r>
      <rPr>
        <sz val="10"/>
        <rFont val="Times New Roman"/>
        <family val="1"/>
        <charset val="204"/>
      </rPr>
      <t>ФИО</t>
    </r>
  </si>
  <si>
    <r>
      <rPr>
        <sz val="10"/>
        <rFont val="Times New Roman"/>
        <family val="1"/>
        <charset val="204"/>
      </rPr>
      <t>Масса, кг</t>
    </r>
  </si>
  <si>
    <r>
      <rPr>
        <sz val="10"/>
        <rFont val="Times New Roman"/>
        <family val="1"/>
        <charset val="204"/>
      </rPr>
      <t>Рост, см</t>
    </r>
  </si>
  <si>
    <r>
      <rPr>
        <sz val="10"/>
        <rFont val="Times New Roman"/>
        <family val="1"/>
        <charset val="204"/>
      </rPr>
      <t>Авдеев А С.</t>
    </r>
  </si>
  <si>
    <r>
      <rPr>
        <sz val="10"/>
        <rFont val="Times New Roman"/>
        <family val="1"/>
        <charset val="204"/>
      </rPr>
      <t>Борина К.П.</t>
    </r>
  </si>
  <si>
    <r>
      <rPr>
        <sz val="10"/>
        <rFont val="Times New Roman"/>
        <family val="1"/>
        <charset val="204"/>
      </rPr>
      <t>Зимин К.А.</t>
    </r>
  </si>
  <si>
    <r>
      <rPr>
        <sz val="10"/>
        <rFont val="Times New Roman"/>
        <family val="1"/>
        <charset val="204"/>
      </rPr>
      <t>Соколов Л.Р.</t>
    </r>
  </si>
  <si>
    <r>
      <rPr>
        <sz val="10"/>
        <rFont val="Times New Roman"/>
        <family val="1"/>
        <charset val="204"/>
      </rPr>
      <t>Шпакин В.В.</t>
    </r>
  </si>
  <si>
    <r>
      <rPr>
        <sz val="10"/>
        <rFont val="Times New Roman"/>
        <family val="1"/>
        <charset val="204"/>
      </rPr>
      <t>Среднее значение</t>
    </r>
  </si>
  <si>
    <r>
      <rPr>
        <sz val="10"/>
        <rFont val="Times New Roman"/>
        <family val="1"/>
        <charset val="204"/>
      </rPr>
      <t>Наибольшее</t>
    </r>
  </si>
  <si>
    <r>
      <rPr>
        <sz val="10"/>
        <rFont val="Times New Roman"/>
        <family val="1"/>
        <charset val="204"/>
      </rPr>
      <t>Наименьшее</t>
    </r>
  </si>
  <si>
    <t>м²</t>
  </si>
  <si>
    <t>Вес менее 75 кг</t>
  </si>
  <si>
    <t>Рост более 170 см</t>
  </si>
  <si>
    <r>
      <rPr>
        <sz val="10"/>
        <rFont val="Times New Roman"/>
        <family val="1"/>
        <charset val="204"/>
      </rPr>
      <t>Фирма</t>
    </r>
  </si>
  <si>
    <r>
      <rPr>
        <sz val="10"/>
        <rFont val="Times New Roman"/>
        <family val="1"/>
        <charset val="204"/>
      </rPr>
      <t>Ф.Н.О. менеджера</t>
    </r>
  </si>
  <si>
    <r>
      <rPr>
        <sz val="10"/>
        <rFont val="Times New Roman"/>
        <family val="1"/>
        <charset val="204"/>
      </rPr>
      <t>Прометей</t>
    </r>
  </si>
  <si>
    <r>
      <rPr>
        <sz val="10"/>
        <rFont val="Times New Roman"/>
        <family val="1"/>
        <charset val="204"/>
      </rPr>
      <t>Абрамов А.В.</t>
    </r>
  </si>
  <si>
    <r>
      <rPr>
        <sz val="10"/>
        <rFont val="Times New Roman"/>
        <family val="1"/>
        <charset val="204"/>
      </rPr>
      <t>Мария-Ра</t>
    </r>
  </si>
  <si>
    <r>
      <rPr>
        <sz val="10"/>
        <rFont val="Times New Roman"/>
        <family val="1"/>
        <charset val="204"/>
      </rPr>
      <t>Сидоров Е.К.</t>
    </r>
  </si>
  <si>
    <r>
      <rPr>
        <sz val="10"/>
        <rFont val="Times New Roman"/>
        <family val="1"/>
        <charset val="204"/>
      </rPr>
      <t>Симонов Н.П.</t>
    </r>
  </si>
  <si>
    <r>
      <rPr>
        <sz val="10"/>
        <rFont val="Times New Roman"/>
        <family val="1"/>
        <charset val="204"/>
      </rPr>
      <t>Лента</t>
    </r>
  </si>
  <si>
    <r>
      <rPr>
        <sz val="10"/>
        <rFont val="Times New Roman"/>
        <family val="1"/>
        <charset val="204"/>
      </rPr>
      <t>Петров Н.Н.</t>
    </r>
  </si>
  <si>
    <r>
      <rPr>
        <sz val="10"/>
        <rFont val="Times New Roman"/>
        <family val="1"/>
        <charset val="204"/>
      </rPr>
      <t>Иванов О.Ю.</t>
    </r>
  </si>
  <si>
    <t>Аникc</t>
  </si>
  <si>
    <t>Форнe</t>
  </si>
  <si>
    <r>
      <rPr>
        <sz val="10"/>
        <rFont val="Times New Roman"/>
        <family val="1"/>
        <charset val="204"/>
      </rPr>
      <t>Шоколад</t>
    </r>
  </si>
  <si>
    <r>
      <rPr>
        <sz val="10"/>
        <rFont val="Times New Roman"/>
        <family val="1"/>
        <charset val="204"/>
      </rPr>
      <t>Объем</t>
    </r>
  </si>
  <si>
    <r>
      <rPr>
        <sz val="10"/>
        <rFont val="Times New Roman"/>
        <family val="1"/>
        <charset val="204"/>
      </rPr>
      <t>Люкс</t>
    </r>
  </si>
  <si>
    <r>
      <rPr>
        <sz val="10"/>
        <rFont val="Times New Roman"/>
        <family val="1"/>
        <charset val="204"/>
      </rPr>
      <t>Сливочный</t>
    </r>
  </si>
  <si>
    <r>
      <rPr>
        <sz val="10"/>
        <rFont val="Times New Roman"/>
        <family val="1"/>
        <charset val="204"/>
      </rPr>
      <t>Мечта</t>
    </r>
  </si>
  <si>
    <r>
      <rPr>
        <sz val="10"/>
        <rFont val="Times New Roman"/>
        <family val="1"/>
        <charset val="204"/>
      </rPr>
      <t>Вечерний звон</t>
    </r>
  </si>
  <si>
    <r>
      <rPr>
        <sz val="10"/>
        <rFont val="Times New Roman"/>
        <family val="1"/>
        <charset val="204"/>
      </rPr>
      <t>Российский</t>
    </r>
  </si>
  <si>
    <r>
      <rPr>
        <sz val="10"/>
        <rFont val="Times New Roman"/>
        <family val="1"/>
        <charset val="204"/>
      </rPr>
      <t>нет</t>
    </r>
  </si>
  <si>
    <t>Общее количество партий товара</t>
  </si>
  <si>
    <t>Количество партий товара с указанным объемом отгрузки</t>
  </si>
  <si>
    <t>Количество партий товара, для которых нет данных</t>
  </si>
  <si>
    <t>Количество партий товаров объемом более 50</t>
  </si>
  <si>
    <t>Количество партий товара «Мечта»</t>
  </si>
  <si>
    <t>Минимальный объем партии</t>
  </si>
  <si>
    <t>Максимальный объем партии</t>
  </si>
  <si>
    <t>Вариант</t>
  </si>
  <si>
    <t>Интервал изменения аргумента</t>
  </si>
  <si>
    <t>Шаг изменения аргумента</t>
  </si>
  <si>
    <t>Функция</t>
  </si>
  <si>
    <t>[-2;2]</t>
  </si>
  <si>
    <t>y = (x+2)*sin3x</t>
  </si>
  <si>
    <t>x</t>
  </si>
  <si>
    <t>y</t>
  </si>
  <si>
    <t>g(x) = ln|x|+sin(x)-3e⁻ˣ</t>
  </si>
  <si>
    <t>g(x)</t>
  </si>
  <si>
    <t>f(x)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</si>
</sst>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"/>
  </numFmts>
  <fonts count="8" x14ac:knownFonts="1">
    <font>
      <sz val="11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u/>
      <sz val="10"/>
      <color theme="1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10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Border="1" applyAlignment="1">
      <alignment horizontal="left"/>
    </xf>
    <xf numFmtId="164" fontId="3" fillId="0" borderId="0" xfId="0" applyNumberFormat="1" applyFont="1"/>
    <xf numFmtId="0" fontId="1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center"/>
    </xf>
    <xf numFmtId="0" fontId="3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vertical="top"/>
    </xf>
    <xf numFmtId="0" fontId="3" fillId="0" borderId="0" xfId="0" applyFont="1" applyBorder="1" applyAlignment="1">
      <alignment horizontal="left" vertical="top" indent="4"/>
    </xf>
    <xf numFmtId="14" fontId="3" fillId="0" borderId="0" xfId="0" applyNumberFormat="1" applyFont="1"/>
    <xf numFmtId="1" fontId="3" fillId="0" borderId="0" xfId="0" applyNumberFormat="1" applyFont="1"/>
    <xf numFmtId="2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0" fontId="3" fillId="0" borderId="0" xfId="0" applyNumberFormat="1" applyFont="1" applyBorder="1" applyAlignment="1">
      <alignment horizontal="center"/>
    </xf>
    <xf numFmtId="0" fontId="3" fillId="0" borderId="0" xfId="0" applyNumberFormat="1" applyFont="1" applyBorder="1" applyAlignment="1">
      <alignment horizontal="center" vertical="top"/>
    </xf>
    <xf numFmtId="0" fontId="3" fillId="0" borderId="0" xfId="0" applyFont="1" applyFill="1" applyBorder="1" applyAlignment="1">
      <alignment horizontal="left" vertical="top"/>
    </xf>
    <xf numFmtId="0" fontId="7" fillId="0" borderId="0" xfId="0" applyFont="1"/>
    <xf numFmtId="0" fontId="3" fillId="0" borderId="0" xfId="0" applyFont="1" applyBorder="1" applyAlignment="1">
      <alignment horizontal="left" indent="1"/>
    </xf>
    <xf numFmtId="0" fontId="5" fillId="0" borderId="0" xfId="0" applyFont="1" applyBorder="1" applyAlignment="1">
      <alignment horizontal="left" vertical="top"/>
    </xf>
    <xf numFmtId="0" fontId="3" fillId="0" borderId="0" xfId="0" applyNumberFormat="1" applyFont="1" applyBorder="1" applyAlignment="1">
      <alignment horizontal="left"/>
    </xf>
    <xf numFmtId="0" fontId="3" fillId="0" borderId="0" xfId="0" applyNumberFormat="1" applyFont="1" applyBorder="1" applyAlignment="1">
      <alignment horizontal="left" vertical="top"/>
    </xf>
    <xf numFmtId="0" fontId="2" fillId="0" borderId="0" xfId="0" applyFont="1"/>
    <xf numFmtId="0" fontId="2" fillId="0" borderId="0" xfId="0" applyFont="1" applyBorder="1" applyAlignment="1">
      <alignment horizontal="left"/>
    </xf>
    <xf numFmtId="0" fontId="6" fillId="0" borderId="0" xfId="0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left"/>
    </xf>
    <xf numFmtId="0" fontId="3" fillId="0" borderId="0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3" fillId="0" borderId="0" xfId="0" applyFont="1" applyBorder="1" applyAlignment="1">
      <alignment horizontal="left" vertical="top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49" fontId="3" fillId="0" borderId="1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>
                <a:latin typeface="Times New Roman" panose="02020603050405020304" pitchFamily="18" charset="0"/>
                <a:cs typeface="Times New Roman" panose="02020603050405020304" pitchFamily="18" charset="0"/>
              </a:rPr>
              <a:t>График</a:t>
            </a:r>
            <a:r>
              <a:rPr lang="ru-RU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 функции </a:t>
            </a:r>
            <a:r>
              <a:rPr lang="en-US" baseline="0">
                <a:latin typeface="Times New Roman" panose="02020603050405020304" pitchFamily="18" charset="0"/>
                <a:cs typeface="Times New Roman" panose="02020603050405020304" pitchFamily="18" charset="0"/>
              </a:rPr>
              <a:t>f(x)</a:t>
            </a:r>
            <a:endParaRPr lang="en-US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2399300087489064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Лист2!$E$2</c:f>
              <c:strCache>
                <c:ptCount val="1"/>
                <c:pt idx="0">
                  <c:v>f(x)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Лист2!$D$3:$D$43</c:f>
              <c:numCache>
                <c:formatCode>General</c:formatCode>
                <c:ptCount val="41"/>
                <c:pt idx="0">
                  <c:v>-1</c:v>
                </c:pt>
                <c:pt idx="1">
                  <c:v>-0.95</c:v>
                </c:pt>
                <c:pt idx="2">
                  <c:v>-0.9</c:v>
                </c:pt>
                <c:pt idx="3">
                  <c:v>-0.85</c:v>
                </c:pt>
                <c:pt idx="4">
                  <c:v>-0.8</c:v>
                </c:pt>
                <c:pt idx="5">
                  <c:v>-0.75</c:v>
                </c:pt>
                <c:pt idx="6">
                  <c:v>-0.7</c:v>
                </c:pt>
                <c:pt idx="7">
                  <c:v>-0.65</c:v>
                </c:pt>
                <c:pt idx="8">
                  <c:v>-0.6</c:v>
                </c:pt>
                <c:pt idx="9">
                  <c:v>-0.55000000000000004</c:v>
                </c:pt>
                <c:pt idx="10">
                  <c:v>-0.5</c:v>
                </c:pt>
                <c:pt idx="11">
                  <c:v>-0.45</c:v>
                </c:pt>
                <c:pt idx="12">
                  <c:v>-0.39999999999999902</c:v>
                </c:pt>
                <c:pt idx="13">
                  <c:v>-0.34999999999999898</c:v>
                </c:pt>
                <c:pt idx="14">
                  <c:v>-0.29999999999999899</c:v>
                </c:pt>
                <c:pt idx="15">
                  <c:v>-0.249999999999999</c:v>
                </c:pt>
                <c:pt idx="16">
                  <c:v>-0.19999999999999901</c:v>
                </c:pt>
                <c:pt idx="17">
                  <c:v>-0.149999999999999</c:v>
                </c:pt>
                <c:pt idx="18">
                  <c:v>-9.9999999999999006E-2</c:v>
                </c:pt>
                <c:pt idx="19">
                  <c:v>-4.9999999999998997E-2</c:v>
                </c:pt>
                <c:pt idx="20">
                  <c:v>0</c:v>
                </c:pt>
                <c:pt idx="21">
                  <c:v>0.05</c:v>
                </c:pt>
                <c:pt idx="22">
                  <c:v>0.1</c:v>
                </c:pt>
                <c:pt idx="23">
                  <c:v>0.15</c:v>
                </c:pt>
                <c:pt idx="24">
                  <c:v>0.2</c:v>
                </c:pt>
                <c:pt idx="25">
                  <c:v>0.25</c:v>
                </c:pt>
                <c:pt idx="26">
                  <c:v>0.3</c:v>
                </c:pt>
                <c:pt idx="27">
                  <c:v>0.35</c:v>
                </c:pt>
                <c:pt idx="28">
                  <c:v>0.4</c:v>
                </c:pt>
                <c:pt idx="29">
                  <c:v>0.45</c:v>
                </c:pt>
                <c:pt idx="30">
                  <c:v>0.5</c:v>
                </c:pt>
                <c:pt idx="31">
                  <c:v>0.55000000000000004</c:v>
                </c:pt>
                <c:pt idx="32">
                  <c:v>0.6</c:v>
                </c:pt>
                <c:pt idx="33">
                  <c:v>0.65</c:v>
                </c:pt>
                <c:pt idx="34">
                  <c:v>0.7</c:v>
                </c:pt>
                <c:pt idx="35">
                  <c:v>0.75</c:v>
                </c:pt>
                <c:pt idx="36">
                  <c:v>0.8</c:v>
                </c:pt>
                <c:pt idx="37">
                  <c:v>0.85</c:v>
                </c:pt>
                <c:pt idx="38">
                  <c:v>0.9</c:v>
                </c:pt>
                <c:pt idx="39">
                  <c:v>0.95</c:v>
                </c:pt>
                <c:pt idx="40">
                  <c:v>1</c:v>
                </c:pt>
              </c:numCache>
            </c:numRef>
          </c:xVal>
          <c:yVal>
            <c:numRef>
              <c:f>Лист2!$E$3:$E$43</c:f>
              <c:numCache>
                <c:formatCode>General</c:formatCode>
                <c:ptCount val="41"/>
                <c:pt idx="0">
                  <c:v>-0.72425758523368178</c:v>
                </c:pt>
                <c:pt idx="1">
                  <c:v>-0.72010320285080409</c:v>
                </c:pt>
                <c:pt idx="2">
                  <c:v>-0.70287136140288509</c:v>
                </c:pt>
                <c:pt idx="3">
                  <c:v>-0.67514395735442978</c:v>
                </c:pt>
                <c:pt idx="4">
                  <c:v>-0.6394045175293499</c:v>
                </c:pt>
                <c:pt idx="5">
                  <c:v>-0.59777826458536898</c:v>
                </c:pt>
                <c:pt idx="6">
                  <c:v>-0.55193336016125727</c:v>
                </c:pt>
                <c:pt idx="7">
                  <c:v>-0.50308556914647218</c:v>
                </c:pt>
                <c:pt idx="8">
                  <c:v>-0.45205450868967822</c:v>
                </c:pt>
                <c:pt idx="9">
                  <c:v>-0.39933621401526054</c:v>
                </c:pt>
                <c:pt idx="10">
                  <c:v>-0.34517222095309169</c:v>
                </c:pt>
                <c:pt idx="11">
                  <c:v>-0.28960578030948059</c:v>
                </c:pt>
                <c:pt idx="12">
                  <c:v>-0.2325210910597714</c:v>
                </c:pt>
                <c:pt idx="13">
                  <c:v>-0.17366237598356937</c:v>
                </c:pt>
                <c:pt idx="14">
                  <c:v>-0.11262616164788929</c:v>
                </c:pt>
                <c:pt idx="15">
                  <c:v>-4.8809458319279783E-2</c:v>
                </c:pt>
                <c:pt idx="16">
                  <c:v>1.8732186583274989E-2</c:v>
                </c:pt>
                <c:pt idx="17">
                  <c:v>9.1650943184954689E-2</c:v>
                </c:pt>
                <c:pt idx="18">
                  <c:v>0.17337686377761746</c:v>
                </c:pt>
                <c:pt idx="19">
                  <c:v>0.27344840369580098</c:v>
                </c:pt>
                <c:pt idx="20">
                  <c:v>0.5</c:v>
                </c:pt>
                <c:pt idx="21">
                  <c:v>0.27334613570947991</c:v>
                </c:pt>
                <c:pt idx="22">
                  <c:v>0.17286267218508983</c:v>
                </c:pt>
                <c:pt idx="23">
                  <c:v>9.0748092465927313E-2</c:v>
                </c:pt>
                <c:pt idx="24">
                  <c:v>1.830516542332826E-2</c:v>
                </c:pt>
                <c:pt idx="25">
                  <c:v>-4.6706437684615618E-2</c:v>
                </c:pt>
                <c:pt idx="26">
                  <c:v>-0.10458621641912458</c:v>
                </c:pt>
                <c:pt idx="27">
                  <c:v>-0.15496429137276563</c:v>
                </c:pt>
                <c:pt idx="28">
                  <c:v>-0.19735475219368787</c:v>
                </c:pt>
                <c:pt idx="29">
                  <c:v>-0.23144090454032354</c:v>
                </c:pt>
                <c:pt idx="30">
                  <c:v>-0.25720936187535648</c:v>
                </c:pt>
                <c:pt idx="31">
                  <c:v>-0.27497967178838256</c:v>
                </c:pt>
                <c:pt idx="32">
                  <c:v>-0.28536332421178168</c:v>
                </c:pt>
                <c:pt idx="33">
                  <c:v>-0.2891836451434826</c:v>
                </c:pt>
                <c:pt idx="34">
                  <c:v>-0.28738373438204734</c:v>
                </c:pt>
                <c:pt idx="35">
                  <c:v>-0.28094191382331674</c:v>
                </c:pt>
                <c:pt idx="36">
                  <c:v>-0.2708053856859734</c:v>
                </c:pt>
                <c:pt idx="37">
                  <c:v>-0.2578453472370949</c:v>
                </c:pt>
                <c:pt idx="38">
                  <c:v>-0.24283185903817561</c:v>
                </c:pt>
                <c:pt idx="39">
                  <c:v>-0.22642431915098701</c:v>
                </c:pt>
                <c:pt idx="40">
                  <c:v>-0.20917280805207569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1623520"/>
        <c:axId val="281623128"/>
      </c:scatterChart>
      <c:valAx>
        <c:axId val="281623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1623128"/>
        <c:crosses val="autoZero"/>
        <c:crossBetween val="midCat"/>
      </c:valAx>
      <c:valAx>
        <c:axId val="281623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81623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Times New Roman" panose="02020603050405020304" pitchFamily="18" charset="0"/>
                <a:cs typeface="Times New Roman" panose="02020603050405020304" pitchFamily="18" charset="0"/>
              </a:rPr>
              <a:t>y = (x+2)*sin3x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Лист7!$B$4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Лист7!$A$5:$A$25</c:f>
              <c:numCache>
                <c:formatCode>General</c:formatCode>
                <c:ptCount val="21"/>
                <c:pt idx="0">
                  <c:v>-2</c:v>
                </c:pt>
                <c:pt idx="1">
                  <c:v>-1.8</c:v>
                </c:pt>
                <c:pt idx="2">
                  <c:v>-1.6</c:v>
                </c:pt>
                <c:pt idx="3">
                  <c:v>-1.4</c:v>
                </c:pt>
                <c:pt idx="4">
                  <c:v>-1.2</c:v>
                </c:pt>
                <c:pt idx="5">
                  <c:v>-1</c:v>
                </c:pt>
                <c:pt idx="6">
                  <c:v>-0.8</c:v>
                </c:pt>
                <c:pt idx="7">
                  <c:v>-0.6</c:v>
                </c:pt>
                <c:pt idx="8">
                  <c:v>-0.4</c:v>
                </c:pt>
                <c:pt idx="9">
                  <c:v>-0.2</c:v>
                </c:pt>
                <c:pt idx="10">
                  <c:v>0</c:v>
                </c:pt>
                <c:pt idx="11">
                  <c:v>0.2</c:v>
                </c:pt>
                <c:pt idx="12">
                  <c:v>0.4</c:v>
                </c:pt>
                <c:pt idx="13">
                  <c:v>0.6</c:v>
                </c:pt>
                <c:pt idx="14">
                  <c:v>0.8</c:v>
                </c:pt>
                <c:pt idx="15">
                  <c:v>1</c:v>
                </c:pt>
                <c:pt idx="16">
                  <c:v>1.2</c:v>
                </c:pt>
                <c:pt idx="17">
                  <c:v>1.4</c:v>
                </c:pt>
                <c:pt idx="18">
                  <c:v>1.6</c:v>
                </c:pt>
                <c:pt idx="19">
                  <c:v>1.8</c:v>
                </c:pt>
                <c:pt idx="20">
                  <c:v>2</c:v>
                </c:pt>
              </c:numCache>
            </c:numRef>
          </c:xVal>
          <c:yVal>
            <c:numRef>
              <c:f>Лист7!$B$5:$B$25</c:f>
              <c:numCache>
                <c:formatCode>General</c:formatCode>
                <c:ptCount val="21"/>
                <c:pt idx="0">
                  <c:v>0</c:v>
                </c:pt>
                <c:pt idx="1">
                  <c:v>0.15455289751119738</c:v>
                </c:pt>
                <c:pt idx="2">
                  <c:v>0.39846584353433612</c:v>
                </c:pt>
                <c:pt idx="3">
                  <c:v>0.52294546344815274</c:v>
                </c:pt>
                <c:pt idx="4">
                  <c:v>0.35401635463588166</c:v>
                </c:pt>
                <c:pt idx="5">
                  <c:v>-0.14112000805986721</c:v>
                </c:pt>
                <c:pt idx="6">
                  <c:v>-0.81055581666138077</c:v>
                </c:pt>
                <c:pt idx="7">
                  <c:v>-1.3633866832294732</c:v>
                </c:pt>
                <c:pt idx="8">
                  <c:v>-1.4912625375475623</c:v>
                </c:pt>
                <c:pt idx="9">
                  <c:v>-1.016356452111064</c:v>
                </c:pt>
                <c:pt idx="10">
                  <c:v>0</c:v>
                </c:pt>
                <c:pt idx="11">
                  <c:v>1.2422134414690782</c:v>
                </c:pt>
                <c:pt idx="12">
                  <c:v>2.2368938063213433</c:v>
                </c:pt>
                <c:pt idx="13">
                  <c:v>2.5320038402833078</c:v>
                </c:pt>
                <c:pt idx="14">
                  <c:v>1.8912969055432216</c:v>
                </c:pt>
                <c:pt idx="15">
                  <c:v>0.42336002417960161</c:v>
                </c:pt>
                <c:pt idx="16">
                  <c:v>-1.4160654185435266</c:v>
                </c:pt>
                <c:pt idx="17">
                  <c:v>-2.9633576262061982</c:v>
                </c:pt>
                <c:pt idx="18">
                  <c:v>-3.5861925918090263</c:v>
                </c:pt>
                <c:pt idx="19">
                  <c:v>-2.936505052712751</c:v>
                </c:pt>
                <c:pt idx="20">
                  <c:v>-1.1176619927957034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BC6-4751-9BD0-5264DEF23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7817616"/>
        <c:axId val="134725248"/>
      </c:scatterChart>
      <c:valAx>
        <c:axId val="237817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Y</a:t>
                </a:r>
                <a:endParaRPr lang="ru-RU" sz="1200" b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4725248"/>
        <c:crosses val="autoZero"/>
        <c:crossBetween val="midCat"/>
      </c:valAx>
      <c:valAx>
        <c:axId val="134725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  <a:endParaRPr lang="ru-RU" sz="1200" b="1"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7817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247650</xdr:colOff>
          <xdr:row>15</xdr:row>
          <xdr:rowOff>28575</xdr:rowOff>
        </xdr:from>
        <xdr:to>
          <xdr:col>1</xdr:col>
          <xdr:colOff>676275</xdr:colOff>
          <xdr:row>24</xdr:row>
          <xdr:rowOff>133350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114300</xdr:colOff>
      <xdr:row>0</xdr:row>
      <xdr:rowOff>42862</xdr:rowOff>
    </xdr:from>
    <xdr:ext cx="1065933" cy="26532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/>
            <xdr:cNvSpPr txBox="1"/>
          </xdr:nvSpPr>
          <xdr:spPr>
            <a:xfrm>
              <a:off x="1943100" y="42862"/>
              <a:ext cx="1065933" cy="2653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000">
                  <a:latin typeface="Times New Roman" panose="02020603050405020304" pitchFamily="18" charset="0"/>
                  <a:cs typeface="Times New Roman" panose="02020603050405020304" pitchFamily="18" charset="0"/>
                </a:rPr>
                <a:t>f(x)=</a:t>
              </a:r>
              <a14:m>
                <m:oMath xmlns:m="http://schemas.openxmlformats.org/officeDocument/2006/math">
                  <m:f>
                    <m:fPr>
                      <m:ctrlPr>
                        <a:rPr lang="en-US" sz="1000" i="1">
                          <a:latin typeface="Cambria Math" panose="02040503050406030204" pitchFamily="18" charset="0"/>
                          <a:cs typeface="Times New Roman" panose="02020603050405020304" pitchFamily="18" charset="0"/>
                        </a:rPr>
                      </m:ctrlPr>
                    </m:fPr>
                    <m:num>
                      <m:func>
                        <m:funcPr>
                          <m:ctrlPr>
                            <a:rPr lang="en-US" sz="100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</m:ctrlPr>
                        </m:funcPr>
                        <m:fName>
                          <m:r>
                            <m:rPr>
                              <m:sty m:val="p"/>
                            </m:rPr>
                            <a:rPr lang="en-US" sz="1000" i="0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cos</m:t>
                          </m:r>
                        </m:fName>
                        <m:e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2</m:t>
                          </m:r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𝑥</m:t>
                          </m:r>
                        </m:e>
                      </m:func>
                      <m:r>
                        <a:rPr lang="en-US" sz="1000" b="0" i="1">
                          <a:latin typeface="Cambria Math" panose="02040503050406030204" pitchFamily="18" charset="0"/>
                          <a:cs typeface="Times New Roman" panose="02020603050405020304" pitchFamily="18" charset="0"/>
                        </a:rPr>
                        <m:t>−</m:t>
                      </m:r>
                      <m:rad>
                        <m:radPr>
                          <m:degHide m:val="on"/>
                          <m:ctrlP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2</m:t>
                          </m:r>
                          <m:d>
                            <m:dPr>
                              <m:begChr m:val="|"/>
                              <m:endChr m:val="|"/>
                              <m:ctrlPr>
                                <a:rPr lang="en-US" sz="1000" b="0" i="1">
                                  <a:latin typeface="Cambria Math" panose="02040503050406030204" pitchFamily="18" charset="0"/>
                                  <a:cs typeface="Times New Roman" panose="02020603050405020304" pitchFamily="18" charset="0"/>
                                </a:rPr>
                              </m:ctrlPr>
                            </m:dPr>
                            <m:e>
                              <m:func>
                                <m:funcPr>
                                  <m:ctrlPr>
                                    <a:rPr lang="en-US" sz="1000" b="0" i="1">
                                      <a:latin typeface="Cambria Math" panose="02040503050406030204" pitchFamily="18" charset="0"/>
                                      <a:cs typeface="Times New Roman" panose="02020603050405020304" pitchFamily="18" charset="0"/>
                                    </a:rPr>
                                  </m:ctrlPr>
                                </m:funcPr>
                                <m:fName>
                                  <m:r>
                                    <m:rPr>
                                      <m:sty m:val="p"/>
                                    </m:rPr>
                                    <a:rPr lang="en-US" sz="1000" b="0" i="0">
                                      <a:latin typeface="Cambria Math" panose="02040503050406030204" pitchFamily="18" charset="0"/>
                                      <a:cs typeface="Times New Roman" panose="02020603050405020304" pitchFamily="18" charset="0"/>
                                    </a:rPr>
                                    <m:t>sin</m:t>
                                  </m:r>
                                </m:fName>
                                <m:e>
                                  <m:r>
                                    <a:rPr lang="en-US" sz="1000" b="0" i="1">
                                      <a:latin typeface="Cambria Math" panose="02040503050406030204" pitchFamily="18" charset="0"/>
                                      <a:cs typeface="Times New Roman" panose="02020603050405020304" pitchFamily="18" charset="0"/>
                                    </a:rPr>
                                    <m:t>2</m:t>
                                  </m:r>
                                  <m:r>
                                    <a:rPr lang="en-US" sz="1000" b="0" i="1">
                                      <a:latin typeface="Cambria Math" panose="02040503050406030204" pitchFamily="18" charset="0"/>
                                      <a:cs typeface="Times New Roman" panose="02020603050405020304" pitchFamily="18" charset="0"/>
                                    </a:rPr>
                                    <m:t>𝑥</m:t>
                                  </m:r>
                                </m:e>
                              </m:func>
                            </m:e>
                          </m:d>
                        </m:e>
                      </m:rad>
                    </m:num>
                    <m:den>
                      <m:r>
                        <a:rPr lang="en-US" sz="1000" b="0" i="1">
                          <a:latin typeface="Cambria Math" panose="02040503050406030204" pitchFamily="18" charset="0"/>
                          <a:cs typeface="Times New Roman" panose="02020603050405020304" pitchFamily="18" charset="0"/>
                        </a:rPr>
                        <m:t>3</m:t>
                      </m:r>
                      <m:sSup>
                        <m:sSupPr>
                          <m:ctrlP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</m:ctrlPr>
                        </m:sSupPr>
                        <m:e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𝑥</m:t>
                          </m:r>
                        </m:e>
                        <m:sup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3</m:t>
                          </m:r>
                        </m:sup>
                      </m:sSup>
                      <m:r>
                        <a:rPr lang="en-US" sz="1000" b="0" i="1">
                          <a:latin typeface="Cambria Math" panose="02040503050406030204" pitchFamily="18" charset="0"/>
                          <a:cs typeface="Times New Roman" panose="02020603050405020304" pitchFamily="18" charset="0"/>
                        </a:rPr>
                        <m:t>+2</m:t>
                      </m:r>
                      <m:sSup>
                        <m:sSupPr>
                          <m:ctrlP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</m:ctrlPr>
                        </m:sSupPr>
                        <m:e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𝑒</m:t>
                          </m:r>
                        </m:e>
                        <m:sup>
                          <m:r>
                            <a:rPr lang="en-US" sz="1000" b="0" i="1">
                              <a:latin typeface="Cambria Math" panose="02040503050406030204" pitchFamily="18" charset="0"/>
                              <a:cs typeface="Times New Roman" panose="02020603050405020304" pitchFamily="18" charset="0"/>
                            </a:rPr>
                            <m:t>−</m:t>
                          </m:r>
                          <m:sSup>
                            <m:sSupPr>
                              <m:ctrlPr>
                                <a:rPr lang="en-US" sz="1000" b="0" i="1">
                                  <a:latin typeface="Cambria Math" panose="02040503050406030204" pitchFamily="18" charset="0"/>
                                  <a:cs typeface="Times New Roman" panose="02020603050405020304" pitchFamily="18" charset="0"/>
                                </a:rPr>
                              </m:ctrlPr>
                            </m:sSupPr>
                            <m:e>
                              <m:r>
                                <a:rPr lang="en-US" sz="1000" b="0" i="1">
                                  <a:latin typeface="Cambria Math" panose="02040503050406030204" pitchFamily="18" charset="0"/>
                                  <a:cs typeface="Times New Roman" panose="02020603050405020304" pitchFamily="18" charset="0"/>
                                </a:rPr>
                                <m:t>𝑥</m:t>
                              </m:r>
                            </m:e>
                            <m:sup>
                              <m:r>
                                <a:rPr lang="en-US" sz="1000" b="0" i="1">
                                  <a:latin typeface="Cambria Math" panose="02040503050406030204" pitchFamily="18" charset="0"/>
                                  <a:cs typeface="Times New Roman" panose="02020603050405020304" pitchFamily="18" charset="0"/>
                                </a:rPr>
                                <m:t>2</m:t>
                              </m:r>
                            </m:sup>
                          </m:sSup>
                        </m:sup>
                      </m:sSup>
                    </m:den>
                  </m:f>
                </m:oMath>
              </a14:m>
              <a:endParaRPr lang="ru-RU" sz="1100"/>
            </a:p>
          </xdr:txBody>
        </xdr:sp>
      </mc:Choice>
      <mc:Fallback>
        <xdr:sp macro="" textlink="">
          <xdr:nvSpPr>
            <xdr:cNvPr id="2" name="TextBox 1"/>
            <xdr:cNvSpPr txBox="1"/>
          </xdr:nvSpPr>
          <xdr:spPr>
            <a:xfrm>
              <a:off x="1943100" y="42862"/>
              <a:ext cx="1065933" cy="2653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000">
                  <a:latin typeface="Times New Roman" panose="02020603050405020304" pitchFamily="18" charset="0"/>
                  <a:cs typeface="Times New Roman" panose="02020603050405020304" pitchFamily="18" charset="0"/>
                </a:rPr>
                <a:t>f(x)=</a:t>
              </a:r>
              <a:r>
                <a:rPr lang="en-US" sz="1000" i="0">
                  <a:latin typeface="Cambria Math" panose="02040503050406030204" pitchFamily="18" charset="0"/>
                  <a:cs typeface="Times New Roman" panose="02020603050405020304" pitchFamily="18" charset="0"/>
                </a:rPr>
                <a:t>(cos⁡</a:t>
              </a:r>
              <a:r>
                <a:rPr lang="en-US" sz="1000" b="0" i="0">
                  <a:latin typeface="Cambria Math" panose="02040503050406030204" pitchFamily="18" charset="0"/>
                  <a:cs typeface="Times New Roman" panose="02020603050405020304" pitchFamily="18" charset="0"/>
                </a:rPr>
                <a:t>2𝑥−√(2|sin⁡2𝑥 | ))/(3𝑥^3+2𝑒^(−𝑥^2 ) )</a:t>
              </a:r>
              <a:endParaRPr lang="ru-RU" sz="1100"/>
            </a:p>
          </xdr:txBody>
        </xdr:sp>
      </mc:Fallback>
    </mc:AlternateContent>
    <xdr:clientData/>
  </xdr:oneCellAnchor>
  <xdr:twoCellAnchor>
    <xdr:from>
      <xdr:col>6</xdr:col>
      <xdr:colOff>9525</xdr:colOff>
      <xdr:row>1</xdr:row>
      <xdr:rowOff>4762</xdr:rowOff>
    </xdr:from>
    <xdr:to>
      <xdr:col>13</xdr:col>
      <xdr:colOff>314325</xdr:colOff>
      <xdr:row>15</xdr:row>
      <xdr:rowOff>80962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1409699</xdr:colOff>
      <xdr:row>2</xdr:row>
      <xdr:rowOff>0</xdr:rowOff>
    </xdr:from>
    <xdr:to>
      <xdr:col>11</xdr:col>
      <xdr:colOff>428624</xdr:colOff>
      <xdr:row>16</xdr:row>
      <xdr:rowOff>76200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C41"/>
  <sheetViews>
    <sheetView workbookViewId="0">
      <selection activeCell="B5" sqref="B5"/>
    </sheetView>
  </sheetViews>
  <sheetFormatPr defaultRowHeight="15" x14ac:dyDescent="0.25"/>
  <cols>
    <col min="1" max="6" width="12.7109375" customWidth="1"/>
  </cols>
  <sheetData>
    <row r="1" spans="1:29" ht="25.5" customHeight="1" x14ac:dyDescent="0.25">
      <c r="A1" s="27" t="s">
        <v>0</v>
      </c>
      <c r="B1" s="27"/>
      <c r="C1" s="27"/>
      <c r="D1" s="27"/>
      <c r="E1" s="27"/>
      <c r="F1" s="27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1"/>
      <c r="Y1" s="1"/>
      <c r="Z1" s="1"/>
      <c r="AA1" s="1"/>
      <c r="AB1" s="1"/>
      <c r="AC1" s="1"/>
    </row>
    <row r="2" spans="1:29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1"/>
      <c r="Y2" s="1"/>
      <c r="Z2" s="1"/>
      <c r="AA2" s="1"/>
      <c r="AB2" s="1"/>
      <c r="AC2" s="1"/>
    </row>
    <row r="3" spans="1:29" x14ac:dyDescent="0.25">
      <c r="A3" s="3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1"/>
      <c r="Y3" s="1"/>
      <c r="Z3" s="1"/>
      <c r="AA3" s="1"/>
      <c r="AB3" s="1"/>
      <c r="AC3" s="1"/>
    </row>
    <row r="4" spans="1:29" ht="29.25" customHeight="1" x14ac:dyDescent="0.25">
      <c r="A4" s="28" t="s">
        <v>2</v>
      </c>
      <c r="B4" s="28"/>
      <c r="C4" s="28"/>
      <c r="D4" s="28"/>
      <c r="E4" s="28"/>
      <c r="F4" s="28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1"/>
      <c r="Y4" s="1"/>
      <c r="Z4" s="1"/>
      <c r="AA4" s="1"/>
      <c r="AB4" s="1"/>
      <c r="AC4" s="1"/>
    </row>
    <row r="5" spans="1:2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1"/>
      <c r="Y5" s="1"/>
      <c r="Z5" s="1"/>
      <c r="AA5" s="1"/>
      <c r="AB5" s="1"/>
      <c r="AC5" s="1"/>
    </row>
    <row r="6" spans="1:29" x14ac:dyDescent="0.25">
      <c r="A6" s="2" t="s">
        <v>11</v>
      </c>
      <c r="B6" s="1">
        <v>3</v>
      </c>
      <c r="C6" s="1" t="s">
        <v>13</v>
      </c>
      <c r="D6" s="1"/>
      <c r="E6" s="1"/>
      <c r="F6" s="1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1"/>
      <c r="Y6" s="1"/>
      <c r="Z6" s="1"/>
      <c r="AA6" s="1"/>
      <c r="AB6" s="1"/>
      <c r="AC6" s="1"/>
    </row>
    <row r="7" spans="1:29" x14ac:dyDescent="0.25">
      <c r="A7" s="2" t="s">
        <v>12</v>
      </c>
      <c r="B7" s="1">
        <v>1</v>
      </c>
      <c r="C7" s="1" t="s">
        <v>13</v>
      </c>
      <c r="D7" s="1"/>
      <c r="E7" s="1"/>
      <c r="F7" s="1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1"/>
      <c r="Y7" s="1"/>
      <c r="Z7" s="1"/>
      <c r="AA7" s="1"/>
      <c r="AB7" s="1"/>
      <c r="AC7" s="1"/>
    </row>
    <row r="8" spans="1:29" x14ac:dyDescent="0.25">
      <c r="A8" s="1"/>
      <c r="B8" s="1"/>
      <c r="C8" s="1"/>
      <c r="D8" s="1"/>
      <c r="E8" s="1"/>
      <c r="F8" s="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1"/>
      <c r="Y8" s="1"/>
      <c r="Z8" s="1"/>
      <c r="AA8" s="1"/>
      <c r="AB8" s="1"/>
      <c r="AC8" s="1"/>
    </row>
    <row r="9" spans="1:29" x14ac:dyDescent="0.25">
      <c r="A9" s="25" t="s">
        <v>3</v>
      </c>
      <c r="B9" s="24"/>
      <c r="C9" s="2"/>
      <c r="D9" s="2"/>
      <c r="E9" s="29" t="s">
        <v>4</v>
      </c>
      <c r="F9" s="29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1"/>
      <c r="Y9" s="1"/>
      <c r="Z9" s="1"/>
      <c r="AA9" s="1"/>
      <c r="AB9" s="1"/>
      <c r="AC9" s="1"/>
    </row>
    <row r="10" spans="1:29" x14ac:dyDescent="0.25">
      <c r="A10" s="26" t="s">
        <v>5</v>
      </c>
      <c r="B10" s="30"/>
      <c r="C10" s="1"/>
      <c r="D10" s="2"/>
      <c r="E10" s="5">
        <f>SQRT((B6^2)+(B7^2))</f>
        <v>3.1622776601683795</v>
      </c>
      <c r="F10" s="1" t="s">
        <v>29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1"/>
      <c r="Y10" s="1"/>
      <c r="Z10" s="1"/>
      <c r="AA10" s="1"/>
      <c r="AB10" s="1"/>
      <c r="AC10" s="1"/>
    </row>
    <row r="11" spans="1:29" x14ac:dyDescent="0.25">
      <c r="A11" s="26" t="s">
        <v>6</v>
      </c>
      <c r="B11" s="31"/>
      <c r="C11" s="31"/>
      <c r="D11" s="2"/>
      <c r="E11" s="5">
        <f>PI()*(B7^2)</f>
        <v>3.1415926535897931</v>
      </c>
      <c r="F11" s="1" t="s">
        <v>29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1"/>
      <c r="Y11" s="1"/>
      <c r="Z11" s="1"/>
      <c r="AA11" s="1"/>
      <c r="AB11" s="1"/>
      <c r="AC11" s="1"/>
    </row>
    <row r="12" spans="1:29" x14ac:dyDescent="0.25">
      <c r="A12" s="26" t="s">
        <v>10</v>
      </c>
      <c r="B12" s="26"/>
      <c r="C12" s="26"/>
      <c r="D12" s="2"/>
      <c r="E12" s="5">
        <f>PI()*B7*E10</f>
        <v>9.9345882657961013</v>
      </c>
      <c r="F12" s="1" t="s">
        <v>29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1"/>
      <c r="Y12" s="1"/>
      <c r="Z12" s="1"/>
      <c r="AA12" s="1"/>
      <c r="AB12" s="1"/>
      <c r="AC12" s="1"/>
    </row>
    <row r="13" spans="1:29" x14ac:dyDescent="0.25">
      <c r="A13" s="25" t="s">
        <v>7</v>
      </c>
      <c r="B13" s="25"/>
      <c r="C13" s="25"/>
      <c r="D13" s="2"/>
      <c r="E13" s="5">
        <f>E11+E12</f>
        <v>13.076180919385894</v>
      </c>
      <c r="F13" s="1" t="s">
        <v>29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1"/>
      <c r="Y13" s="1"/>
      <c r="Z13" s="1"/>
      <c r="AA13" s="1"/>
      <c r="AB13" s="1"/>
      <c r="AC13" s="1"/>
    </row>
    <row r="14" spans="1:29" x14ac:dyDescent="0.25">
      <c r="A14" s="24" t="s">
        <v>8</v>
      </c>
      <c r="B14" s="24"/>
      <c r="C14" s="6"/>
      <c r="D14" s="2"/>
      <c r="E14" s="5">
        <f>(1/3)*E11*B6</f>
        <v>3.1415926535897931</v>
      </c>
      <c r="F14" s="1" t="s">
        <v>29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1"/>
      <c r="Y14" s="1"/>
      <c r="Z14" s="1"/>
      <c r="AA14" s="1"/>
      <c r="AB14" s="1"/>
      <c r="AC14" s="1"/>
    </row>
    <row r="15" spans="1:29" x14ac:dyDescent="0.25">
      <c r="A15" s="24" t="s">
        <v>9</v>
      </c>
      <c r="B15" s="24"/>
      <c r="C15" s="6"/>
      <c r="D15" s="2"/>
      <c r="E15" s="5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1"/>
      <c r="Y15" s="1"/>
      <c r="Z15" s="1"/>
      <c r="AA15" s="1"/>
      <c r="AB15" s="1"/>
      <c r="AC15" s="1"/>
    </row>
    <row r="16" spans="1:2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1"/>
      <c r="Y16" s="1"/>
      <c r="Z16" s="1"/>
      <c r="AA16" s="1"/>
      <c r="AB16" s="1"/>
      <c r="AC16" s="1"/>
    </row>
    <row r="17" spans="1:2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1"/>
      <c r="Y17" s="1"/>
      <c r="Z17" s="1"/>
      <c r="AA17" s="1"/>
      <c r="AB17" s="1"/>
      <c r="AC17" s="1"/>
    </row>
    <row r="18" spans="1:29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1"/>
      <c r="Y18" s="1"/>
      <c r="Z18" s="1"/>
      <c r="AA18" s="1"/>
      <c r="AB18" s="1"/>
      <c r="AC18" s="1"/>
    </row>
    <row r="19" spans="1:2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1"/>
      <c r="Y19" s="1"/>
      <c r="Z19" s="1"/>
      <c r="AA19" s="1"/>
      <c r="AB19" s="1"/>
      <c r="AC19" s="1"/>
    </row>
    <row r="20" spans="1:29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1"/>
      <c r="Y20" s="1"/>
      <c r="Z20" s="1"/>
      <c r="AA20" s="1"/>
      <c r="AB20" s="1"/>
      <c r="AC20" s="1"/>
    </row>
    <row r="21" spans="1:29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1"/>
      <c r="Y21" s="1"/>
      <c r="Z21" s="1"/>
      <c r="AA21" s="1"/>
      <c r="AB21" s="1"/>
      <c r="AC21" s="1"/>
    </row>
    <row r="22" spans="1:29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1"/>
      <c r="Y22" s="1"/>
      <c r="Z22" s="1"/>
      <c r="AA22" s="1"/>
      <c r="AB22" s="1"/>
      <c r="AC22" s="1"/>
    </row>
    <row r="23" spans="1:29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1"/>
      <c r="Y23" s="1"/>
      <c r="Z23" s="1"/>
      <c r="AA23" s="1"/>
      <c r="AB23" s="1"/>
      <c r="AC23" s="1"/>
    </row>
    <row r="24" spans="1:29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1"/>
      <c r="Y24" s="1"/>
      <c r="Z24" s="1"/>
      <c r="AA24" s="1"/>
      <c r="AB24" s="1"/>
      <c r="AC24" s="1"/>
    </row>
    <row r="25" spans="1:29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1"/>
      <c r="Y25" s="1"/>
      <c r="Z25" s="1"/>
      <c r="AA25" s="1"/>
      <c r="AB25" s="1"/>
      <c r="AC25" s="1"/>
    </row>
    <row r="26" spans="1:29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1"/>
      <c r="Y26" s="1"/>
      <c r="Z26" s="1"/>
      <c r="AA26" s="1"/>
      <c r="AB26" s="1"/>
      <c r="AC26" s="1"/>
    </row>
    <row r="27" spans="1:29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1"/>
      <c r="Y27" s="1"/>
      <c r="Z27" s="1"/>
      <c r="AA27" s="1"/>
      <c r="AB27" s="1"/>
      <c r="AC27" s="1"/>
    </row>
    <row r="28" spans="1:29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1"/>
      <c r="Y28" s="1"/>
      <c r="Z28" s="1"/>
      <c r="AA28" s="1"/>
      <c r="AB28" s="1"/>
      <c r="AC28" s="1"/>
    </row>
    <row r="29" spans="1:29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1"/>
      <c r="Y29" s="1"/>
      <c r="Z29" s="1"/>
      <c r="AA29" s="1"/>
      <c r="AB29" s="1"/>
      <c r="AC29" s="1"/>
    </row>
    <row r="30" spans="1:29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1"/>
      <c r="Y30" s="1"/>
      <c r="Z30" s="1"/>
      <c r="AA30" s="1"/>
      <c r="AB30" s="1"/>
      <c r="AC30" s="1"/>
    </row>
    <row r="31" spans="1:29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1"/>
      <c r="Y31" s="1"/>
      <c r="Z31" s="1"/>
      <c r="AA31" s="1"/>
      <c r="AB31" s="1"/>
      <c r="AC31" s="1"/>
    </row>
    <row r="32" spans="1:29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1"/>
      <c r="Y32" s="1"/>
      <c r="Z32" s="1"/>
      <c r="AA32" s="1"/>
      <c r="AB32" s="1"/>
      <c r="AC32" s="1"/>
    </row>
    <row r="33" spans="1:2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:2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:2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</sheetData>
  <mergeCells count="10">
    <mergeCell ref="A14:B14"/>
    <mergeCell ref="A15:B15"/>
    <mergeCell ref="A13:C13"/>
    <mergeCell ref="A12:C12"/>
    <mergeCell ref="A1:F1"/>
    <mergeCell ref="A4:F4"/>
    <mergeCell ref="A9:B9"/>
    <mergeCell ref="E9:F9"/>
    <mergeCell ref="A10:B10"/>
    <mergeCell ref="A11:C11"/>
  </mergeCells>
  <pageMargins left="0.7" right="0.7" top="0.75" bottom="0.75" header="0.3" footer="0.3"/>
  <pageSetup paperSize="9" orientation="portrait" verticalDpi="0" r:id="rId1"/>
  <drawing r:id="rId2"/>
  <legacyDrawing r:id="rId3"/>
  <oleObjects>
    <mc:AlternateContent xmlns:mc="http://schemas.openxmlformats.org/markup-compatibility/2006">
      <mc:Choice Requires="x14">
        <oleObject progId="Equation.3" shapeId="1025" r:id="rId4">
          <objectPr defaultSize="0" autoPict="0" r:id="rId5">
            <anchor moveWithCells="1">
              <from>
                <xdr:col>0</xdr:col>
                <xdr:colOff>247650</xdr:colOff>
                <xdr:row>15</xdr:row>
                <xdr:rowOff>28575</xdr:rowOff>
              </from>
              <to>
                <xdr:col>1</xdr:col>
                <xdr:colOff>676275</xdr:colOff>
                <xdr:row>24</xdr:row>
                <xdr:rowOff>133350</xdr:rowOff>
              </to>
            </anchor>
          </objectPr>
        </oleObject>
      </mc:Choice>
      <mc:Fallback>
        <oleObject progId="Equation.3" shapeId="1025" r:id="rId4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4"/>
  <sheetViews>
    <sheetView tabSelected="1" workbookViewId="0">
      <selection activeCell="I18" sqref="I18"/>
    </sheetView>
  </sheetViews>
  <sheetFormatPr defaultRowHeight="15" x14ac:dyDescent="0.25"/>
  <sheetData>
    <row r="1" spans="1:24" ht="30.75" customHeight="1" x14ac:dyDescent="0.25">
      <c r="A1" s="33" t="s">
        <v>67</v>
      </c>
      <c r="B1" s="33"/>
      <c r="C1" s="2"/>
      <c r="D1" s="35"/>
      <c r="E1" s="35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5">
      <c r="A2" s="34" t="s">
        <v>65</v>
      </c>
      <c r="B2" s="34" t="s">
        <v>68</v>
      </c>
      <c r="C2" s="2"/>
      <c r="D2" s="34" t="s">
        <v>65</v>
      </c>
      <c r="E2" s="34" t="s">
        <v>69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5">
      <c r="A3" s="34">
        <v>-10</v>
      </c>
      <c r="B3" s="34">
        <f>LN(ABS(A3)) + SIN(A3) - 3*EXP(-A3)</f>
        <v>-66076.550778216275</v>
      </c>
      <c r="C3" s="2"/>
      <c r="D3" s="34">
        <v>-1</v>
      </c>
      <c r="E3" s="34">
        <f>(COS(2*D3) - SQRT(2*ABS(SIN(2*D3)))) / (3*D3^3 + 2*EXP(-D3^2))</f>
        <v>-0.72425758523368178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5">
      <c r="A4" s="34">
        <v>-9</v>
      </c>
      <c r="B4" s="34">
        <f>LN(ABS(A4)) + SIN(A4) - 3*EXP(-A4)</f>
        <v>-24307.46667663406</v>
      </c>
      <c r="C4" s="2"/>
      <c r="D4" s="34">
        <v>-0.95</v>
      </c>
      <c r="E4" s="34">
        <f t="shared" ref="E4:E43" si="0">(COS(2*D4) - SQRT(2*ABS(SIN(2*D4)))) / (3*D4^3 + 2*EXP(-D4^2))</f>
        <v>-0.72010320285080409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5">
      <c r="A5" s="34">
        <v>-8</v>
      </c>
      <c r="B5" s="34">
        <f>LN(ABS(A5)) + SIN(A5) - 3*EXP(-A5)</f>
        <v>-8941.7838778301284</v>
      </c>
      <c r="C5" s="2"/>
      <c r="D5" s="34">
        <v>-0.9</v>
      </c>
      <c r="E5" s="34">
        <f t="shared" si="0"/>
        <v>-0.70287136140288509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5">
      <c r="A6" s="34">
        <v>-7</v>
      </c>
      <c r="B6" s="34">
        <f>LN(ABS(A6)) + SIN(A6) - 3*EXP(-A6)</f>
        <v>-3288.6105517350388</v>
      </c>
      <c r="C6" s="2"/>
      <c r="D6" s="34">
        <v>-0.85</v>
      </c>
      <c r="E6" s="34">
        <f t="shared" si="0"/>
        <v>-0.67514395735442978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5">
      <c r="A7" s="34">
        <v>-6</v>
      </c>
      <c r="B7" s="34">
        <f>LN(ABS(A7)) + SIN(A7) - 3*EXP(-A7)</f>
        <v>-1208.2152055107783</v>
      </c>
      <c r="C7" s="2"/>
      <c r="D7" s="34">
        <v>-0.8</v>
      </c>
      <c r="E7" s="34">
        <f t="shared" si="0"/>
        <v>-0.6394045175293499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5">
      <c r="A8" s="34">
        <v>-5</v>
      </c>
      <c r="B8" s="34">
        <f>LN(ABS(A8)) + SIN(A8) - 3*EXP(-A8)</f>
        <v>-442.67111512063252</v>
      </c>
      <c r="C8" s="2"/>
      <c r="D8" s="34">
        <v>-0.75</v>
      </c>
      <c r="E8" s="34">
        <f t="shared" si="0"/>
        <v>-0.59777826458536898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5">
      <c r="A9" s="34">
        <v>-4</v>
      </c>
      <c r="B9" s="34">
        <f>LN(ABS(A9)) + SIN(A9) - 3*EXP(-A9)</f>
        <v>-161.65135324300488</v>
      </c>
      <c r="C9" s="2"/>
      <c r="D9" s="34">
        <v>-0.7</v>
      </c>
      <c r="E9" s="34">
        <f t="shared" si="0"/>
        <v>-0.55193336016125727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5">
      <c r="A10" s="34">
        <v>-3</v>
      </c>
      <c r="B10" s="34">
        <f>LN(ABS(A10)) + SIN(A10) - 3*EXP(-A10)</f>
        <v>-59.299118488954761</v>
      </c>
      <c r="C10" s="2"/>
      <c r="D10" s="34">
        <v>-0.65</v>
      </c>
      <c r="E10" s="34">
        <f t="shared" si="0"/>
        <v>-0.50308556914647218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5">
      <c r="A11" s="34">
        <v>-2</v>
      </c>
      <c r="B11" s="34">
        <f>LN(ABS(A11)) + SIN(A11) - 3*EXP(-A11)</f>
        <v>-22.383318543057687</v>
      </c>
      <c r="C11" s="2"/>
      <c r="D11" s="34">
        <v>-0.6</v>
      </c>
      <c r="E11" s="34">
        <f t="shared" si="0"/>
        <v>-0.45205450868967822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5">
      <c r="A12" s="34">
        <v>-1</v>
      </c>
      <c r="B12" s="34">
        <f>LN(ABS(A12)) + SIN(A12) - 3*EXP(-A12)</f>
        <v>-8.9963164701850324</v>
      </c>
      <c r="C12" s="2"/>
      <c r="D12" s="34">
        <v>-0.55000000000000004</v>
      </c>
      <c r="E12" s="34">
        <f t="shared" si="0"/>
        <v>-0.39933621401526054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5">
      <c r="A13" s="34">
        <v>1</v>
      </c>
      <c r="B13" s="34">
        <f>LN(ABS(A13)) + SIN(A13) - 3*EXP(-A13)</f>
        <v>-0.2621673387064305</v>
      </c>
      <c r="C13" s="2"/>
      <c r="D13" s="34">
        <v>-0.5</v>
      </c>
      <c r="E13" s="34">
        <f t="shared" si="0"/>
        <v>-0.34517222095309169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5">
      <c r="A14" s="34">
        <v>2</v>
      </c>
      <c r="B14" s="34">
        <f>LN(ABS(A14)) + SIN(A14) - 3*EXP(-A14)</f>
        <v>1.1964387576757889</v>
      </c>
      <c r="C14" s="2"/>
      <c r="D14" s="34">
        <v>-0.45</v>
      </c>
      <c r="E14" s="34">
        <f t="shared" si="0"/>
        <v>-0.28960578030948059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5">
      <c r="A15" s="34">
        <v>3</v>
      </c>
      <c r="B15" s="34">
        <f>LN(ABS(A15)) + SIN(A15) - 3*EXP(-A15)</f>
        <v>1.0903710916243852</v>
      </c>
      <c r="C15" s="2"/>
      <c r="D15" s="34">
        <v>-0.39999999999999902</v>
      </c>
      <c r="E15" s="34">
        <f t="shared" si="0"/>
        <v>-0.2325210910597714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5">
      <c r="A16" s="34">
        <v>4</v>
      </c>
      <c r="B16" s="34">
        <f>LN(ABS(A16)) + SIN(A16) - 3*EXP(-A16)</f>
        <v>0.57454494914575982</v>
      </c>
      <c r="C16" s="2"/>
      <c r="D16" s="34">
        <v>-0.34999999999999898</v>
      </c>
      <c r="E16" s="34">
        <f t="shared" si="0"/>
        <v>-0.17366237598356937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34">
        <v>5</v>
      </c>
      <c r="B17" s="34">
        <f>LN(ABS(A17)) + SIN(A17) - 3*EXP(-A17)</f>
        <v>0.6302997967737054</v>
      </c>
      <c r="C17" s="2"/>
      <c r="D17" s="34">
        <v>-0.29999999999999899</v>
      </c>
      <c r="E17" s="34">
        <f t="shared" si="0"/>
        <v>-0.11262616164788929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34">
        <v>6</v>
      </c>
      <c r="B18" s="34">
        <f>LN(ABS(A18)) + SIN(A18) - 3*EXP(-A18)</f>
        <v>1.5049077144991301</v>
      </c>
      <c r="C18" s="2"/>
      <c r="D18" s="34">
        <v>-0.249999999999999</v>
      </c>
      <c r="E18" s="34">
        <f t="shared" si="0"/>
        <v>-4.8809458319279783E-2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34">
        <v>7</v>
      </c>
      <c r="B19" s="34">
        <f>LN(ABS(A19)) + SIN(A19) - 3*EXP(-A19)</f>
        <v>2.6001611018774389</v>
      </c>
      <c r="C19" s="2"/>
      <c r="D19" s="34">
        <v>-0.19999999999999901</v>
      </c>
      <c r="E19" s="34">
        <f t="shared" si="0"/>
        <v>1.8732186583274989E-2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34">
        <v>8</v>
      </c>
      <c r="B20" s="34">
        <f>LN(ABS(A20)) + SIN(A20) - 3*EXP(-A20)</f>
        <v>3.06779340041951</v>
      </c>
      <c r="C20" s="2"/>
      <c r="D20" s="34">
        <v>-0.149999999999999</v>
      </c>
      <c r="E20" s="34">
        <f t="shared" si="0"/>
        <v>9.1650943184954689E-2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34">
        <v>9</v>
      </c>
      <c r="B21" s="34">
        <f>LN(ABS(A21)) + SIN(A21) - 3*EXP(-A21)</f>
        <v>2.608972833165716</v>
      </c>
      <c r="C21" s="2"/>
      <c r="D21" s="34">
        <v>-9.9999999999999006E-2</v>
      </c>
      <c r="E21" s="34">
        <f t="shared" si="0"/>
        <v>0.17337686377761746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34">
        <v>10</v>
      </c>
      <c r="B22" s="34">
        <f>LN(ABS(A22)) + SIN(A22) - 3*EXP(-A22)</f>
        <v>1.7584277823153887</v>
      </c>
      <c r="C22" s="2"/>
      <c r="D22" s="34">
        <v>-4.9999999999998997E-2</v>
      </c>
      <c r="E22" s="34">
        <f t="shared" si="0"/>
        <v>0.27344840369580098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C23" s="2"/>
      <c r="D23" s="34">
        <v>0</v>
      </c>
      <c r="E23" s="34">
        <f t="shared" si="0"/>
        <v>0.5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34">
        <v>0.05</v>
      </c>
      <c r="E24" s="34">
        <f t="shared" si="0"/>
        <v>0.27334613570947991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34">
        <v>0.1</v>
      </c>
      <c r="E25" s="34">
        <f t="shared" si="0"/>
        <v>0.17286267218508983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34">
        <v>0.15</v>
      </c>
      <c r="E26" s="34">
        <f t="shared" si="0"/>
        <v>9.0748092465927313E-2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34">
        <v>0.2</v>
      </c>
      <c r="E27" s="34">
        <f t="shared" si="0"/>
        <v>1.830516542332826E-2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34">
        <v>0.25</v>
      </c>
      <c r="E28" s="34">
        <f t="shared" si="0"/>
        <v>-4.6706437684615618E-2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34">
        <v>0.3</v>
      </c>
      <c r="E29" s="34">
        <f t="shared" si="0"/>
        <v>-0.10458621641912458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34">
        <v>0.35</v>
      </c>
      <c r="E30" s="34">
        <f t="shared" si="0"/>
        <v>-0.15496429137276563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34">
        <v>0.4</v>
      </c>
      <c r="E31" s="34">
        <f t="shared" si="0"/>
        <v>-0.19735475219368787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34">
        <v>0.45</v>
      </c>
      <c r="E32" s="34">
        <f t="shared" si="0"/>
        <v>-0.23144090454032354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34">
        <v>0.5</v>
      </c>
      <c r="E33" s="34">
        <f t="shared" si="0"/>
        <v>-0.25720936187535648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34">
        <v>0.55000000000000004</v>
      </c>
      <c r="E34" s="34">
        <f t="shared" si="0"/>
        <v>-0.27497967178838256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34">
        <v>0.6</v>
      </c>
      <c r="E35" s="34">
        <f t="shared" si="0"/>
        <v>-0.28536332421178168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34">
        <v>0.65</v>
      </c>
      <c r="E36" s="34">
        <f t="shared" si="0"/>
        <v>-0.2891836451434826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34">
        <v>0.7</v>
      </c>
      <c r="E37" s="34">
        <f t="shared" si="0"/>
        <v>-0.28738373438204734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34">
        <v>0.75</v>
      </c>
      <c r="E38" s="34">
        <f t="shared" si="0"/>
        <v>-0.28094191382331674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34">
        <v>0.8</v>
      </c>
      <c r="E39" s="34">
        <f t="shared" si="0"/>
        <v>-0.2708053856859734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34">
        <v>0.85</v>
      </c>
      <c r="E40" s="34">
        <f t="shared" si="0"/>
        <v>-0.2578453472370949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34">
        <v>0.9</v>
      </c>
      <c r="E41" s="34">
        <f t="shared" si="0"/>
        <v>-0.24283185903817561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34">
        <v>0.95</v>
      </c>
      <c r="E42" s="34">
        <f t="shared" si="0"/>
        <v>-0.22642431915098701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34">
        <v>1</v>
      </c>
      <c r="E43" s="34">
        <f t="shared" si="0"/>
        <v>-0.20917280805207569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</sheetData>
  <mergeCells count="2">
    <mergeCell ref="A1:B1"/>
    <mergeCell ref="D1:E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4" sqref="B4"/>
    </sheetView>
  </sheetViews>
  <sheetFormatPr defaultRowHeight="15" x14ac:dyDescent="0.25"/>
  <cols>
    <col min="1" max="1" width="27.85546875" customWidth="1"/>
    <col min="2" max="2" width="16" customWidth="1"/>
  </cols>
  <sheetData>
    <row r="1" spans="1:2" x14ac:dyDescent="0.25">
      <c r="A1" s="11">
        <v>39685</v>
      </c>
      <c r="B1" s="11">
        <f ca="1">TODAY()</f>
        <v>46311</v>
      </c>
    </row>
    <row r="2" spans="1:2" x14ac:dyDescent="0.25">
      <c r="A2" s="2" t="s">
        <v>14</v>
      </c>
      <c r="B2" s="12">
        <f ca="1">YEARFRAC(B1,A1)</f>
        <v>18.141666666666666</v>
      </c>
    </row>
    <row r="3" spans="1:2" x14ac:dyDescent="0.25">
      <c r="A3" s="2" t="s">
        <v>15</v>
      </c>
      <c r="B3" s="2">
        <f>WEEKDAY(A1)</f>
        <v>2</v>
      </c>
    </row>
    <row r="4" spans="1:2" ht="36" customHeight="1" x14ac:dyDescent="0.25">
      <c r="A4" s="13" t="s">
        <v>16</v>
      </c>
      <c r="B4" s="11">
        <f>EDATE(A1,39)</f>
        <v>40872</v>
      </c>
    </row>
    <row r="5" spans="1:2" ht="22.5" customHeight="1" x14ac:dyDescent="0.25">
      <c r="A5" s="14" t="s">
        <v>17</v>
      </c>
      <c r="B5" s="2">
        <f ca="1">WEEKNUM(B1)</f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workbookViewId="0">
      <selection activeCell="F11" sqref="F11"/>
    </sheetView>
  </sheetViews>
  <sheetFormatPr defaultRowHeight="15" x14ac:dyDescent="0.25"/>
  <cols>
    <col min="1" max="1" width="17.140625" customWidth="1"/>
    <col min="2" max="2" width="16.85546875" customWidth="1"/>
    <col min="3" max="3" width="16.42578125" customWidth="1"/>
  </cols>
  <sheetData>
    <row r="1" spans="1:21" x14ac:dyDescent="0.25">
      <c r="A1" s="7" t="s">
        <v>18</v>
      </c>
      <c r="B1" s="7" t="s">
        <v>19</v>
      </c>
      <c r="C1" s="7" t="s">
        <v>20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1"/>
      <c r="Q1" s="1"/>
      <c r="R1" s="1"/>
      <c r="S1" s="1"/>
      <c r="T1" s="1"/>
      <c r="U1" s="1"/>
    </row>
    <row r="2" spans="1:21" x14ac:dyDescent="0.25">
      <c r="A2" s="8" t="s">
        <v>21</v>
      </c>
      <c r="B2" s="15">
        <v>78</v>
      </c>
      <c r="C2" s="15">
        <v>180</v>
      </c>
      <c r="D2" s="2"/>
      <c r="E2" s="18"/>
      <c r="F2" s="18"/>
      <c r="G2" s="2"/>
      <c r="H2" s="2"/>
      <c r="I2" s="2"/>
      <c r="J2" s="2"/>
      <c r="K2" s="2"/>
      <c r="L2" s="2"/>
      <c r="M2" s="2"/>
      <c r="N2" s="2"/>
      <c r="O2" s="2"/>
      <c r="P2" s="1"/>
      <c r="Q2" s="1"/>
      <c r="R2" s="1"/>
      <c r="S2" s="1"/>
      <c r="T2" s="1"/>
      <c r="U2" s="1"/>
    </row>
    <row r="3" spans="1:21" x14ac:dyDescent="0.25">
      <c r="A3" s="8" t="s">
        <v>22</v>
      </c>
      <c r="B3" s="15">
        <v>52</v>
      </c>
      <c r="C3" s="15">
        <v>155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1"/>
      <c r="Q3" s="1"/>
      <c r="R3" s="1"/>
      <c r="S3" s="1"/>
      <c r="T3" s="1"/>
      <c r="U3" s="1"/>
    </row>
    <row r="4" spans="1:21" x14ac:dyDescent="0.25">
      <c r="A4" s="9" t="s">
        <v>23</v>
      </c>
      <c r="B4" s="16">
        <v>74</v>
      </c>
      <c r="C4" s="16">
        <v>178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1"/>
      <c r="Q4" s="1"/>
      <c r="R4" s="1"/>
      <c r="S4" s="1"/>
      <c r="T4" s="1"/>
      <c r="U4" s="1"/>
    </row>
    <row r="5" spans="1:21" x14ac:dyDescent="0.25">
      <c r="A5" s="9" t="s">
        <v>24</v>
      </c>
      <c r="B5" s="16">
        <v>70</v>
      </c>
      <c r="C5" s="16">
        <v>169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1"/>
      <c r="Q5" s="1"/>
      <c r="R5" s="1"/>
      <c r="S5" s="1"/>
      <c r="T5" s="1"/>
      <c r="U5" s="1"/>
    </row>
    <row r="6" spans="1:21" x14ac:dyDescent="0.25">
      <c r="A6" s="9" t="s">
        <v>25</v>
      </c>
      <c r="B6" s="16">
        <v>77</v>
      </c>
      <c r="C6" s="16">
        <v>171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1"/>
      <c r="Q6" s="1"/>
      <c r="R6" s="1"/>
      <c r="S6" s="1"/>
      <c r="T6" s="1"/>
      <c r="U6" s="1"/>
    </row>
    <row r="7" spans="1:21" x14ac:dyDescent="0.25">
      <c r="A7" s="32"/>
      <c r="B7" s="32"/>
      <c r="C7" s="3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  <c r="Q7" s="1"/>
      <c r="R7" s="1"/>
      <c r="S7" s="1"/>
      <c r="T7" s="1"/>
      <c r="U7" s="1"/>
    </row>
    <row r="8" spans="1:21" x14ac:dyDescent="0.25">
      <c r="A8" s="8" t="s">
        <v>26</v>
      </c>
      <c r="B8" s="10">
        <f>AVERAGE(B2:B6)</f>
        <v>70.2</v>
      </c>
      <c r="C8" s="10">
        <f>AVERAGE(C2:C6)</f>
        <v>170.6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"/>
      <c r="Q8" s="1"/>
      <c r="R8" s="1"/>
      <c r="S8" s="1"/>
      <c r="T8" s="1"/>
      <c r="U8" s="1"/>
    </row>
    <row r="9" spans="1:21" x14ac:dyDescent="0.25">
      <c r="A9" s="9" t="s">
        <v>27</v>
      </c>
      <c r="B9" s="10">
        <f>MAX(B2:B6)</f>
        <v>78</v>
      </c>
      <c r="C9" s="10">
        <f>MAX(C2:C6)</f>
        <v>180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1"/>
      <c r="Q9" s="1"/>
      <c r="R9" s="1"/>
      <c r="S9" s="1"/>
      <c r="T9" s="1"/>
      <c r="U9" s="1"/>
    </row>
    <row r="10" spans="1:21" x14ac:dyDescent="0.25">
      <c r="A10" s="9" t="s">
        <v>28</v>
      </c>
      <c r="B10" s="10">
        <f>MIN(B2:B6)</f>
        <v>52</v>
      </c>
      <c r="C10" s="10">
        <f>MIN(C2:C6)</f>
        <v>155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1"/>
      <c r="Q10" s="1"/>
      <c r="R10" s="1"/>
      <c r="S10" s="1"/>
      <c r="T10" s="1"/>
      <c r="U10" s="1"/>
    </row>
    <row r="11" spans="1:21" x14ac:dyDescent="0.25">
      <c r="A11" s="17" t="s">
        <v>30</v>
      </c>
      <c r="B11" s="2">
        <f>COUNTIF(B2:B6,"&lt;75")</f>
        <v>3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1"/>
      <c r="Q11" s="1"/>
      <c r="R11" s="1"/>
      <c r="S11" s="1"/>
      <c r="T11" s="1"/>
      <c r="U11" s="1"/>
    </row>
    <row r="12" spans="1:21" x14ac:dyDescent="0.25">
      <c r="A12" s="2" t="s">
        <v>31</v>
      </c>
      <c r="B12" s="2">
        <f>COUNTIF(C2:C6,"&gt;170")</f>
        <v>3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1"/>
      <c r="Q12" s="1"/>
      <c r="R12" s="1"/>
      <c r="S12" s="1"/>
      <c r="T12" s="1"/>
      <c r="U12" s="1"/>
    </row>
    <row r="13" spans="1:2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1"/>
      <c r="Q13" s="1"/>
      <c r="R13" s="1"/>
      <c r="S13" s="1"/>
      <c r="T13" s="1"/>
      <c r="U13" s="1"/>
    </row>
    <row r="14" spans="1:2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1"/>
      <c r="Q14" s="1"/>
      <c r="R14" s="1"/>
      <c r="S14" s="1"/>
      <c r="T14" s="1"/>
      <c r="U14" s="1"/>
    </row>
    <row r="15" spans="1:2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1"/>
      <c r="Q15" s="1"/>
      <c r="R15" s="1"/>
      <c r="S15" s="1"/>
      <c r="T15" s="1"/>
      <c r="U15" s="1"/>
    </row>
    <row r="16" spans="1:2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1"/>
      <c r="Q16" s="1"/>
      <c r="R16" s="1"/>
      <c r="S16" s="1"/>
      <c r="T16" s="1"/>
      <c r="U16" s="1"/>
    </row>
    <row r="17" spans="1:2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1"/>
      <c r="Q17" s="1"/>
      <c r="R17" s="1"/>
      <c r="S17" s="1"/>
      <c r="T17" s="1"/>
      <c r="U17" s="1"/>
    </row>
    <row r="18" spans="1:2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1"/>
      <c r="Q18" s="1"/>
      <c r="R18" s="1"/>
      <c r="S18" s="1"/>
      <c r="T18" s="1"/>
      <c r="U18" s="1"/>
    </row>
    <row r="19" spans="1:2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1"/>
      <c r="Q19" s="1"/>
      <c r="R19" s="1"/>
      <c r="S19" s="1"/>
      <c r="T19" s="1"/>
      <c r="U19" s="1"/>
    </row>
    <row r="20" spans="1:2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1"/>
      <c r="Q20" s="1"/>
      <c r="R20" s="1"/>
      <c r="S20" s="1"/>
      <c r="T20" s="1"/>
      <c r="U20" s="1"/>
    </row>
    <row r="21" spans="1:2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1"/>
      <c r="Q21" s="1"/>
      <c r="R21" s="1"/>
      <c r="S21" s="1"/>
      <c r="T21" s="1"/>
      <c r="U21" s="1"/>
    </row>
    <row r="22" spans="1:2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"/>
      <c r="Q22" s="1"/>
      <c r="R22" s="1"/>
      <c r="S22" s="1"/>
      <c r="T22" s="1"/>
      <c r="U22" s="1"/>
    </row>
    <row r="23" spans="1:2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1"/>
      <c r="Q23" s="1"/>
      <c r="R23" s="1"/>
      <c r="S23" s="1"/>
      <c r="T23" s="1"/>
      <c r="U23" s="1"/>
    </row>
    <row r="24" spans="1:2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</row>
    <row r="25" spans="1:2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</row>
    <row r="26" spans="1:2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1"/>
      <c r="Q26" s="1"/>
      <c r="R26" s="1"/>
      <c r="S26" s="1"/>
      <c r="T26" s="1"/>
      <c r="U26" s="1"/>
    </row>
    <row r="27" spans="1:2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1"/>
      <c r="R27" s="1"/>
      <c r="S27" s="1"/>
      <c r="T27" s="1"/>
      <c r="U27" s="1"/>
    </row>
    <row r="28" spans="1:2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1"/>
      <c r="Q28" s="1"/>
      <c r="R28" s="1"/>
      <c r="S28" s="1"/>
      <c r="T28" s="1"/>
      <c r="U28" s="1"/>
    </row>
    <row r="29" spans="1:2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1"/>
      <c r="Q29" s="1"/>
      <c r="R29" s="1"/>
      <c r="S29" s="1"/>
      <c r="T29" s="1"/>
      <c r="U29" s="1"/>
    </row>
    <row r="30" spans="1:2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1"/>
      <c r="Q30" s="1"/>
      <c r="R30" s="1"/>
      <c r="S30" s="1"/>
      <c r="T30" s="1"/>
      <c r="U30" s="1"/>
    </row>
    <row r="31" spans="1:2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1"/>
      <c r="Q31" s="1"/>
      <c r="R31" s="1"/>
      <c r="S31" s="1"/>
      <c r="T31" s="1"/>
      <c r="U31" s="1"/>
    </row>
    <row r="32" spans="1:2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1"/>
      <c r="Q32" s="1"/>
      <c r="R32" s="1"/>
      <c r="S32" s="1"/>
      <c r="T32" s="1"/>
      <c r="U32" s="1"/>
    </row>
    <row r="33" spans="1:2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1"/>
      <c r="Q33" s="1"/>
      <c r="R33" s="1"/>
      <c r="S33" s="1"/>
      <c r="T33" s="1"/>
      <c r="U33" s="1"/>
    </row>
    <row r="34" spans="1:2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1"/>
      <c r="Q34" s="1"/>
      <c r="R34" s="1"/>
      <c r="S34" s="1"/>
      <c r="T34" s="1"/>
      <c r="U34" s="1"/>
    </row>
    <row r="35" spans="1:2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1"/>
      <c r="Q35" s="1"/>
      <c r="R35" s="1"/>
      <c r="S35" s="1"/>
      <c r="T35" s="1"/>
      <c r="U35" s="1"/>
    </row>
    <row r="36" spans="1:2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1"/>
      <c r="Q36" s="1"/>
      <c r="R36" s="1"/>
      <c r="S36" s="1"/>
      <c r="T36" s="1"/>
      <c r="U36" s="1"/>
    </row>
    <row r="37" spans="1:2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1"/>
      <c r="Q37" s="1"/>
      <c r="R37" s="1"/>
      <c r="S37" s="1"/>
      <c r="T37" s="1"/>
      <c r="U37" s="1"/>
    </row>
    <row r="38" spans="1:2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1"/>
      <c r="Q38" s="1"/>
      <c r="R38" s="1"/>
      <c r="S38" s="1"/>
      <c r="T38" s="1"/>
      <c r="U38" s="1"/>
    </row>
    <row r="39" spans="1:2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1"/>
      <c r="Q39" s="1"/>
      <c r="R39" s="1"/>
      <c r="S39" s="1"/>
      <c r="T39" s="1"/>
      <c r="U39" s="1"/>
    </row>
    <row r="40" spans="1:2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</row>
    <row r="41" spans="1:2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</row>
  </sheetData>
  <mergeCells count="1"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C17" sqref="C17:D23"/>
    </sheetView>
  </sheetViews>
  <sheetFormatPr defaultRowHeight="15" x14ac:dyDescent="0.25"/>
  <cols>
    <col min="1" max="1" width="14.140625" customWidth="1"/>
    <col min="2" max="2" width="15.85546875" customWidth="1"/>
    <col min="3" max="3" width="49.7109375" customWidth="1"/>
  </cols>
  <sheetData>
    <row r="1" spans="1:3" x14ac:dyDescent="0.25">
      <c r="A1" s="19" t="s">
        <v>32</v>
      </c>
      <c r="B1" s="8" t="s">
        <v>33</v>
      </c>
      <c r="C1" s="9"/>
    </row>
    <row r="2" spans="1:3" x14ac:dyDescent="0.25">
      <c r="A2" s="8" t="s">
        <v>34</v>
      </c>
      <c r="B2" s="8" t="s">
        <v>35</v>
      </c>
      <c r="C2" s="4" t="str">
        <f>"Фирма " &amp; A2 &amp; " - курирует менеджер " &amp; B2</f>
        <v>Фирма Прометей - курирует менеджер Абрамов А.В.</v>
      </c>
    </row>
    <row r="3" spans="1:3" x14ac:dyDescent="0.25">
      <c r="A3" s="8" t="s">
        <v>36</v>
      </c>
      <c r="B3" s="8" t="s">
        <v>37</v>
      </c>
      <c r="C3" s="4" t="str">
        <f t="shared" ref="C3:C6" si="0">"Фирма " &amp; A3 &amp; " - курирует менеджер " &amp; B3</f>
        <v>Фирма Мария-Ра - курирует менеджер Сидоров Е.К.</v>
      </c>
    </row>
    <row r="4" spans="1:3" x14ac:dyDescent="0.25">
      <c r="A4" s="4" t="s">
        <v>43</v>
      </c>
      <c r="B4" s="8" t="s">
        <v>38</v>
      </c>
      <c r="C4" s="4" t="str">
        <f t="shared" si="0"/>
        <v>Фирма Форнe - курирует менеджер Симонов Н.П.</v>
      </c>
    </row>
    <row r="5" spans="1:3" x14ac:dyDescent="0.25">
      <c r="A5" s="8" t="s">
        <v>39</v>
      </c>
      <c r="B5" s="8" t="s">
        <v>40</v>
      </c>
      <c r="C5" s="4" t="str">
        <f t="shared" si="0"/>
        <v>Фирма Лента - курирует менеджер Петров Н.Н.</v>
      </c>
    </row>
    <row r="6" spans="1:3" x14ac:dyDescent="0.25">
      <c r="A6" s="20" t="s">
        <v>42</v>
      </c>
      <c r="B6" s="9" t="s">
        <v>41</v>
      </c>
      <c r="C6" s="4" t="str">
        <f t="shared" si="0"/>
        <v>Фирма Аникc - курирует менеджер Иванов О.Ю.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3"/>
  <sheetViews>
    <sheetView workbookViewId="0">
      <selection activeCell="B4" sqref="B4"/>
    </sheetView>
  </sheetViews>
  <sheetFormatPr defaultRowHeight="15" x14ac:dyDescent="0.25"/>
  <cols>
    <col min="1" max="1" width="19.85546875" customWidth="1"/>
    <col min="2" max="2" width="18.42578125" customWidth="1"/>
    <col min="4" max="4" width="56.140625" customWidth="1"/>
  </cols>
  <sheetData>
    <row r="1" spans="1:26" x14ac:dyDescent="0.25">
      <c r="A1" s="7" t="s">
        <v>44</v>
      </c>
      <c r="B1" s="7" t="s">
        <v>45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8" t="s">
        <v>46</v>
      </c>
      <c r="B2" s="21">
        <v>66</v>
      </c>
      <c r="C2" s="2"/>
      <c r="D2" s="2" t="s">
        <v>52</v>
      </c>
      <c r="E2" s="14">
        <f>COUNTA(B2:B24)</f>
        <v>21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5">
      <c r="A3" s="8" t="s">
        <v>47</v>
      </c>
      <c r="B3" s="9"/>
      <c r="C3" s="2"/>
      <c r="D3" s="2" t="s">
        <v>53</v>
      </c>
      <c r="E3" s="2">
        <f>COUNT(B2:B24)</f>
        <v>17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5">
      <c r="A4" s="8" t="s">
        <v>48</v>
      </c>
      <c r="B4" s="21">
        <v>1</v>
      </c>
      <c r="C4" s="2"/>
      <c r="D4" s="2" t="s">
        <v>54</v>
      </c>
      <c r="E4" s="2">
        <f>COUNTBLANK(B2:B24)</f>
        <v>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5">
      <c r="A5" s="8" t="s">
        <v>49</v>
      </c>
      <c r="B5" s="21">
        <v>92</v>
      </c>
      <c r="C5" s="2"/>
      <c r="D5" s="2" t="s">
        <v>55</v>
      </c>
      <c r="E5" s="2">
        <f>COUNTIF(B2:B24,"&gt;50")</f>
        <v>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5">
      <c r="A6" s="9" t="s">
        <v>48</v>
      </c>
      <c r="B6" s="22">
        <v>31</v>
      </c>
      <c r="C6" s="2"/>
      <c r="D6" s="2" t="s">
        <v>56</v>
      </c>
      <c r="E6" s="2">
        <f>COUNTIF(A2:A24,"=Мечта")</f>
        <v>8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5">
      <c r="A7" s="9" t="s">
        <v>49</v>
      </c>
      <c r="B7" s="22">
        <v>77</v>
      </c>
      <c r="C7" s="2"/>
      <c r="D7" s="2" t="s">
        <v>57</v>
      </c>
      <c r="E7" s="2">
        <f>MIN(B2:B24)</f>
        <v>1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5">
      <c r="A8" s="8" t="s">
        <v>50</v>
      </c>
      <c r="B8" s="21">
        <v>2</v>
      </c>
      <c r="C8" s="2"/>
      <c r="D8" s="2" t="s">
        <v>58</v>
      </c>
      <c r="E8" s="2">
        <f>MAX(B2:B24)</f>
        <v>92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5">
      <c r="A9" s="8" t="s">
        <v>48</v>
      </c>
      <c r="B9" s="8" t="s">
        <v>51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5">
      <c r="A10" s="8" t="s">
        <v>50</v>
      </c>
      <c r="B10" s="21">
        <v>18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5">
      <c r="A11" s="8" t="s">
        <v>48</v>
      </c>
      <c r="B11" s="21">
        <v>34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5">
      <c r="A12" s="8" t="s">
        <v>49</v>
      </c>
      <c r="B12" s="9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5">
      <c r="A13" s="9" t="s">
        <v>50</v>
      </c>
      <c r="B13" s="22">
        <v>3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5">
      <c r="A14" s="8" t="s">
        <v>48</v>
      </c>
      <c r="B14" s="8" t="s">
        <v>51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5">
      <c r="A15" s="8" t="s">
        <v>49</v>
      </c>
      <c r="B15" s="21">
        <v>18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5">
      <c r="A16" s="8" t="s">
        <v>48</v>
      </c>
      <c r="B16" s="21">
        <v>47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5">
      <c r="A17" s="8" t="s">
        <v>50</v>
      </c>
      <c r="B17" s="21">
        <v>42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5">
      <c r="A18" s="8" t="s">
        <v>49</v>
      </c>
      <c r="B18" s="21">
        <v>49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5">
      <c r="A19" s="9" t="s">
        <v>50</v>
      </c>
      <c r="B19" s="21">
        <v>10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5">
      <c r="A20" s="8" t="s">
        <v>48</v>
      </c>
      <c r="B20" s="21">
        <v>28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5">
      <c r="A21" s="8" t="s">
        <v>49</v>
      </c>
      <c r="B21" s="8" t="s">
        <v>51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5">
      <c r="A22" s="8" t="s">
        <v>50</v>
      </c>
      <c r="B22" s="21">
        <v>37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5">
      <c r="A23" s="8" t="s">
        <v>48</v>
      </c>
      <c r="B23" s="8" t="s">
        <v>51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5">
      <c r="A24" s="8" t="s">
        <v>49</v>
      </c>
      <c r="B24" s="21">
        <v>12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3:26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2" sqref="C2"/>
    </sheetView>
  </sheetViews>
  <sheetFormatPr defaultRowHeight="15" x14ac:dyDescent="0.25"/>
  <cols>
    <col min="1" max="1" width="9.140625" customWidth="1"/>
    <col min="2" max="2" width="17.5703125" customWidth="1"/>
    <col min="3" max="3" width="22.5703125" customWidth="1"/>
    <col min="4" max="4" width="21.140625" customWidth="1"/>
  </cols>
  <sheetData>
    <row r="1" spans="1:4" ht="59.25" customHeight="1" x14ac:dyDescent="0.25">
      <c r="A1" s="2" t="s">
        <v>59</v>
      </c>
      <c r="B1" s="2" t="s">
        <v>62</v>
      </c>
      <c r="C1" s="14" t="s">
        <v>60</v>
      </c>
      <c r="D1" s="14" t="s">
        <v>61</v>
      </c>
    </row>
    <row r="2" spans="1:4" x14ac:dyDescent="0.25">
      <c r="A2" s="2">
        <v>3</v>
      </c>
      <c r="B2" s="2" t="s">
        <v>64</v>
      </c>
      <c r="C2" s="2" t="s">
        <v>63</v>
      </c>
      <c r="D2" s="2">
        <v>0.2</v>
      </c>
    </row>
    <row r="3" spans="1:4" x14ac:dyDescent="0.25">
      <c r="A3" s="2"/>
      <c r="B3" s="2"/>
      <c r="C3" s="2"/>
      <c r="D3" s="2"/>
    </row>
    <row r="4" spans="1:4" x14ac:dyDescent="0.25">
      <c r="A4" s="23" t="s">
        <v>65</v>
      </c>
      <c r="B4" s="23" t="s">
        <v>66</v>
      </c>
      <c r="C4" s="2"/>
      <c r="D4" s="2"/>
    </row>
    <row r="5" spans="1:4" x14ac:dyDescent="0.25">
      <c r="A5" s="2">
        <v>-2</v>
      </c>
      <c r="B5" s="2">
        <f>(A5+2)*SIN(A5*3)</f>
        <v>0</v>
      </c>
      <c r="C5" s="2"/>
      <c r="D5" s="2"/>
    </row>
    <row r="6" spans="1:4" x14ac:dyDescent="0.25">
      <c r="A6" s="2">
        <v>-1.8</v>
      </c>
      <c r="B6" s="2">
        <f t="shared" ref="B6:B25" si="0">(A6+2)*SIN(A6*3)</f>
        <v>0.15455289751119738</v>
      </c>
      <c r="C6" s="2"/>
      <c r="D6" s="2"/>
    </row>
    <row r="7" spans="1:4" x14ac:dyDescent="0.25">
      <c r="A7" s="2">
        <v>-1.6</v>
      </c>
      <c r="B7" s="2">
        <f t="shared" si="0"/>
        <v>0.39846584353433612</v>
      </c>
      <c r="C7" s="2"/>
      <c r="D7" s="2"/>
    </row>
    <row r="8" spans="1:4" x14ac:dyDescent="0.25">
      <c r="A8" s="2">
        <v>-1.4</v>
      </c>
      <c r="B8" s="2">
        <f t="shared" si="0"/>
        <v>0.52294546344815274</v>
      </c>
      <c r="C8" s="2"/>
      <c r="D8" s="2"/>
    </row>
    <row r="9" spans="1:4" x14ac:dyDescent="0.25">
      <c r="A9" s="2">
        <v>-1.2</v>
      </c>
      <c r="B9" s="2">
        <f t="shared" si="0"/>
        <v>0.35401635463588166</v>
      </c>
      <c r="C9" s="2"/>
      <c r="D9" s="2"/>
    </row>
    <row r="10" spans="1:4" x14ac:dyDescent="0.25">
      <c r="A10" s="2">
        <v>-1</v>
      </c>
      <c r="B10" s="2">
        <f t="shared" si="0"/>
        <v>-0.14112000805986721</v>
      </c>
      <c r="C10" s="2"/>
      <c r="D10" s="2"/>
    </row>
    <row r="11" spans="1:4" x14ac:dyDescent="0.25">
      <c r="A11" s="2">
        <v>-0.8</v>
      </c>
      <c r="B11" s="2">
        <f t="shared" si="0"/>
        <v>-0.81055581666138077</v>
      </c>
      <c r="C11" s="2"/>
      <c r="D11" s="2"/>
    </row>
    <row r="12" spans="1:4" x14ac:dyDescent="0.25">
      <c r="A12" s="2">
        <v>-0.6</v>
      </c>
      <c r="B12" s="2">
        <f t="shared" si="0"/>
        <v>-1.3633866832294732</v>
      </c>
      <c r="C12" s="2"/>
      <c r="D12" s="2"/>
    </row>
    <row r="13" spans="1:4" x14ac:dyDescent="0.25">
      <c r="A13" s="2">
        <v>-0.4</v>
      </c>
      <c r="B13" s="2">
        <f t="shared" si="0"/>
        <v>-1.4912625375475623</v>
      </c>
      <c r="C13" s="2"/>
      <c r="D13" s="2"/>
    </row>
    <row r="14" spans="1:4" x14ac:dyDescent="0.25">
      <c r="A14" s="2">
        <v>-0.2</v>
      </c>
      <c r="B14" s="2">
        <f t="shared" si="0"/>
        <v>-1.016356452111064</v>
      </c>
      <c r="C14" s="2"/>
      <c r="D14" s="2"/>
    </row>
    <row r="15" spans="1:4" x14ac:dyDescent="0.25">
      <c r="A15" s="2">
        <v>0</v>
      </c>
      <c r="B15" s="2">
        <f t="shared" si="0"/>
        <v>0</v>
      </c>
      <c r="C15" s="2"/>
      <c r="D15" s="2"/>
    </row>
    <row r="16" spans="1:4" x14ac:dyDescent="0.25">
      <c r="A16" s="2">
        <v>0.2</v>
      </c>
      <c r="B16" s="2">
        <f t="shared" si="0"/>
        <v>1.2422134414690782</v>
      </c>
      <c r="C16" s="2"/>
      <c r="D16" s="2"/>
    </row>
    <row r="17" spans="1:4" x14ac:dyDescent="0.25">
      <c r="A17" s="2">
        <v>0.4</v>
      </c>
      <c r="B17" s="2">
        <f t="shared" si="0"/>
        <v>2.2368938063213433</v>
      </c>
      <c r="C17" s="2"/>
      <c r="D17" s="2"/>
    </row>
    <row r="18" spans="1:4" x14ac:dyDescent="0.25">
      <c r="A18" s="2">
        <v>0.6</v>
      </c>
      <c r="B18" s="2">
        <f t="shared" si="0"/>
        <v>2.5320038402833078</v>
      </c>
      <c r="C18" s="2"/>
      <c r="D18" s="2"/>
    </row>
    <row r="19" spans="1:4" x14ac:dyDescent="0.25">
      <c r="A19" s="2">
        <v>0.8</v>
      </c>
      <c r="B19" s="2">
        <f t="shared" si="0"/>
        <v>1.8912969055432216</v>
      </c>
      <c r="C19" s="2"/>
      <c r="D19" s="2"/>
    </row>
    <row r="20" spans="1:4" x14ac:dyDescent="0.25">
      <c r="A20" s="2">
        <v>1</v>
      </c>
      <c r="B20" s="2">
        <f t="shared" si="0"/>
        <v>0.42336002417960161</v>
      </c>
      <c r="C20" s="2"/>
      <c r="D20" s="2"/>
    </row>
    <row r="21" spans="1:4" x14ac:dyDescent="0.25">
      <c r="A21" s="2">
        <v>1.2</v>
      </c>
      <c r="B21" s="2">
        <f t="shared" si="0"/>
        <v>-1.4160654185435266</v>
      </c>
      <c r="C21" s="2"/>
      <c r="D21" s="2"/>
    </row>
    <row r="22" spans="1:4" x14ac:dyDescent="0.25">
      <c r="A22" s="2">
        <v>1.4</v>
      </c>
      <c r="B22" s="2">
        <f t="shared" si="0"/>
        <v>-2.9633576262061982</v>
      </c>
      <c r="C22" s="2"/>
      <c r="D22" s="2"/>
    </row>
    <row r="23" spans="1:4" x14ac:dyDescent="0.25">
      <c r="A23" s="2">
        <v>1.6</v>
      </c>
      <c r="B23" s="2">
        <f t="shared" si="0"/>
        <v>-3.5861925918090263</v>
      </c>
      <c r="C23" s="2"/>
      <c r="D23" s="2"/>
    </row>
    <row r="24" spans="1:4" x14ac:dyDescent="0.25">
      <c r="A24" s="2">
        <v>1.8</v>
      </c>
      <c r="B24" s="2">
        <f t="shared" si="0"/>
        <v>-2.936505052712751</v>
      </c>
      <c r="C24" s="2"/>
      <c r="D24" s="2"/>
    </row>
    <row r="25" spans="1:4" x14ac:dyDescent="0.25">
      <c r="A25" s="2">
        <v>2</v>
      </c>
      <c r="B25" s="2">
        <f t="shared" si="0"/>
        <v>-1.1176619927957034</v>
      </c>
      <c r="C25" s="2"/>
      <c r="D25" s="2"/>
    </row>
    <row r="26" spans="1:4" x14ac:dyDescent="0.25">
      <c r="A26" s="2"/>
      <c r="B26" s="2"/>
      <c r="C26" s="2"/>
      <c r="D26" s="2"/>
    </row>
    <row r="27" spans="1:4" x14ac:dyDescent="0.25">
      <c r="A27" s="2"/>
      <c r="B27" s="2"/>
      <c r="C27" s="2"/>
      <c r="D27" s="2"/>
    </row>
    <row r="28" spans="1:4" x14ac:dyDescent="0.25">
      <c r="A28" s="2"/>
      <c r="B28" s="2"/>
      <c r="C28" s="2"/>
      <c r="D28" s="2"/>
    </row>
    <row r="29" spans="1:4" x14ac:dyDescent="0.25">
      <c r="A29" s="2"/>
      <c r="B29" s="2"/>
      <c r="C29" s="2"/>
      <c r="D29" s="2"/>
    </row>
  </sheetData>
  <pageMargins left="0.7" right="0.7" top="0.75" bottom="0.75" header="0.3" footer="0.3"/>
  <pageSetup paperSize="9"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Лист1</vt:lpstr>
      <vt:lpstr>Лист2</vt:lpstr>
      <vt:lpstr>Лист3</vt:lpstr>
      <vt:lpstr>Лист4</vt:lpstr>
      <vt:lpstr>Лист5</vt:lpstr>
      <vt:lpstr>Лист6</vt:lpstr>
      <vt:lpstr>Лист7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Canon</dc:creator>
  <cp:lastModifiedBy>student</cp:lastModifiedBy>
  <dcterms:created xsi:type="dcterms:W3CDTF">2026-10-15T13:13:14Z</dcterms:created>
  <dcterms:modified xsi:type="dcterms:W3CDTF">2026-10-16T09:17:41Z</dcterms:modified>
</cp:coreProperties>
</file>