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on\Desktop\лабы_информ\Лаба2\"/>
    </mc:Choice>
  </mc:AlternateContent>
  <bookViews>
    <workbookView xWindow="0" yWindow="0" windowWidth="9600" windowHeight="3345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2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4" i="5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3" i="4"/>
  <c r="F10" i="3"/>
  <c r="F3" i="3" l="1"/>
  <c r="F4" i="3"/>
  <c r="F5" i="3"/>
  <c r="F6" i="3"/>
  <c r="F7" i="3"/>
  <c r="F8" i="3"/>
  <c r="F9" i="3"/>
  <c r="F2" i="3"/>
  <c r="G6" i="2"/>
  <c r="G7" i="2"/>
  <c r="G5" i="2"/>
  <c r="D6" i="2"/>
  <c r="D7" i="2"/>
  <c r="D5" i="2"/>
</calcChain>
</file>

<file path=xl/sharedStrings.xml><?xml version="1.0" encoding="utf-8"?>
<sst xmlns="http://schemas.openxmlformats.org/spreadsheetml/2006/main" count="54" uniqueCount="47">
  <si>
    <t>Расход материала для покраски</t>
  </si>
  <si>
    <t>Материал</t>
  </si>
  <si>
    <t>Поверхность</t>
  </si>
  <si>
    <t>Двери</t>
  </si>
  <si>
    <t>Подоконники</t>
  </si>
  <si>
    <t>площадь, м²</t>
  </si>
  <si>
    <t>Олифа</t>
  </si>
  <si>
    <t>Белила тертые</t>
  </si>
  <si>
    <t>Пигмент</t>
  </si>
  <si>
    <t>расход,кг</t>
  </si>
  <si>
    <r>
      <t>площадь, м</t>
    </r>
    <r>
      <rPr>
        <sz val="11"/>
        <color theme="1"/>
        <rFont val="Calibri"/>
        <family val="2"/>
        <charset val="204"/>
      </rPr>
      <t>²</t>
    </r>
  </si>
  <si>
    <t>расход на 1 м², кг</t>
  </si>
  <si>
    <t>№</t>
  </si>
  <si>
    <t>Бетон</t>
  </si>
  <si>
    <t>Сталь класса А</t>
  </si>
  <si>
    <t>Сталь конструкционная</t>
  </si>
  <si>
    <t>Цемент</t>
  </si>
  <si>
    <t>Лесопиломатериалы</t>
  </si>
  <si>
    <t>Стекло оконное</t>
  </si>
  <si>
    <t>Линолеум</t>
  </si>
  <si>
    <t>Плитка</t>
  </si>
  <si>
    <r>
      <t>м</t>
    </r>
    <r>
      <rPr>
        <sz val="11"/>
        <color theme="1"/>
        <rFont val="Calibri"/>
        <family val="2"/>
        <charset val="204"/>
      </rPr>
      <t>²</t>
    </r>
  </si>
  <si>
    <t>м³</t>
  </si>
  <si>
    <t>т</t>
  </si>
  <si>
    <r>
      <t>м</t>
    </r>
    <r>
      <rPr>
        <sz val="11"/>
        <color theme="1"/>
        <rFont val="Calibri"/>
        <family val="2"/>
        <charset val="204"/>
      </rPr>
      <t>³</t>
    </r>
  </si>
  <si>
    <t>Наименование материалов</t>
  </si>
  <si>
    <t>Единица измерения</t>
  </si>
  <si>
    <t>Количество</t>
  </si>
  <si>
    <t>Стоимость единицы, руб.</t>
  </si>
  <si>
    <t>Общая стоимость тыс.руб</t>
  </si>
  <si>
    <t>Итого</t>
  </si>
  <si>
    <r>
      <t>y = x</t>
    </r>
    <r>
      <rPr>
        <b/>
        <sz val="11"/>
        <color theme="1"/>
        <rFont val="Calibri"/>
        <family val="2"/>
        <charset val="204"/>
      </rPr>
      <t>³-4x²</t>
    </r>
    <r>
      <rPr>
        <b/>
        <sz val="11"/>
        <color theme="1"/>
        <rFont val="Calibri"/>
        <family val="2"/>
        <charset val="204"/>
        <scheme val="minor"/>
      </rPr>
      <t>+2x+1</t>
    </r>
  </si>
  <si>
    <t>x</t>
  </si>
  <si>
    <t>y</t>
  </si>
  <si>
    <r>
      <t>y = x</t>
    </r>
    <r>
      <rPr>
        <b/>
        <sz val="11"/>
        <color theme="1"/>
        <rFont val="Calibri"/>
        <family val="2"/>
        <charset val="204"/>
      </rPr>
      <t>²-1</t>
    </r>
  </si>
  <si>
    <t>y = x+2</t>
  </si>
  <si>
    <t>y1</t>
  </si>
  <si>
    <t>y2</t>
  </si>
  <si>
    <t>Наименование товара</t>
  </si>
  <si>
    <t>Средняя цена (руб)</t>
  </si>
  <si>
    <t>Изменение по сравнения с
прошлой неделей в %</t>
  </si>
  <si>
    <t>Нефть</t>
  </si>
  <si>
    <t>Бензин АИ-76</t>
  </si>
  <si>
    <t>Бензин АИ-93</t>
  </si>
  <si>
    <t>Авиакерасин ТС-1</t>
  </si>
  <si>
    <t>Дизельное топливо</t>
  </si>
  <si>
    <t>Цены предыдущей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</si>
</sst>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0.00000"/>
    <numFmt numFmtId="167" formatCode="0.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19382682294525E-2"/>
          <c:y val="5.4726368159203981E-2"/>
          <c:w val="0.70495279112141784"/>
          <c:h val="0.7160528068319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Двери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Лист2!$D$5:$D$7</c:f>
              <c:numCache>
                <c:formatCode>General</c:formatCode>
                <c:ptCount val="3"/>
                <c:pt idx="0">
                  <c:v>7.2</c:v>
                </c:pt>
                <c:pt idx="1">
                  <c:v>2</c:v>
                </c:pt>
                <c:pt idx="2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8B-4457-A4D8-CF712E63A1EA}"/>
            </c:ext>
          </c:extLst>
        </c:ser>
        <c:ser>
          <c:idx val="1"/>
          <c:order val="1"/>
          <c:tx>
            <c:strRef>
              <c:f>Лист2!$E$3</c:f>
              <c:strCache>
                <c:ptCount val="1"/>
                <c:pt idx="0">
                  <c:v>Подоконники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Лист2!$G$5:$G$7</c:f>
              <c:numCache>
                <c:formatCode>General</c:formatCode>
                <c:ptCount val="3"/>
                <c:pt idx="0">
                  <c:v>3.6</c:v>
                </c:pt>
                <c:pt idx="1">
                  <c:v>4.4000000000000004</c:v>
                </c:pt>
                <c:pt idx="2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8B-4457-A4D8-CF712E63A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61616"/>
        <c:axId val="134261200"/>
      </c:barChart>
      <c:catAx>
        <c:axId val="13426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261200"/>
        <c:crosses val="autoZero"/>
        <c:auto val="1"/>
        <c:lblAlgn val="ctr"/>
        <c:lblOffset val="100"/>
        <c:noMultiLvlLbl val="0"/>
      </c:catAx>
      <c:valAx>
        <c:axId val="1342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26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904388799192126"/>
          <c:y val="0.32897951188937208"/>
          <c:w val="0.20228330915179685"/>
          <c:h val="0.18843342343401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solidFill>
                  <a:schemeClr val="tx1"/>
                </a:solidFill>
                <a:effectLst/>
              </a:rPr>
              <a:t>Общая стоимость, тыс.руб</a:t>
            </a:r>
            <a:r>
              <a:rPr lang="ru-RU" sz="1400" b="1" i="0" u="none" strike="noStrike" baseline="0">
                <a:solidFill>
                  <a:schemeClr val="tx1"/>
                </a:solidFill>
              </a:rPr>
              <a:t> </a:t>
            </a:r>
            <a:endParaRPr lang="ru-RU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77915573053368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34838145231846"/>
          <c:y val="0.13930555555555557"/>
          <c:w val="0.84596062992125987"/>
          <c:h val="0.473137576552930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Лист3!$B$2:$B$9</c:f>
              <c:strCache>
                <c:ptCount val="8"/>
                <c:pt idx="0">
                  <c:v>Бетон</c:v>
                </c:pt>
                <c:pt idx="1">
                  <c:v>Сталь класса А</c:v>
                </c:pt>
                <c:pt idx="2">
                  <c:v>Сталь конструкционная</c:v>
                </c:pt>
                <c:pt idx="3">
                  <c:v>Цемент</c:v>
                </c:pt>
                <c:pt idx="4">
                  <c:v>Лесопиломатериалы</c:v>
                </c:pt>
                <c:pt idx="5">
                  <c:v>Стекло оконное</c:v>
                </c:pt>
                <c:pt idx="6">
                  <c:v>Линолеум</c:v>
                </c:pt>
                <c:pt idx="7">
                  <c:v>Плитка</c:v>
                </c:pt>
              </c:strCache>
            </c:strRef>
          </c:cat>
          <c:val>
            <c:numRef>
              <c:f>Лист3!$F$2:$F$9</c:f>
              <c:numCache>
                <c:formatCode>0.0</c:formatCode>
                <c:ptCount val="8"/>
                <c:pt idx="0">
                  <c:v>19489.349999999999</c:v>
                </c:pt>
                <c:pt idx="1">
                  <c:v>70863.31</c:v>
                </c:pt>
                <c:pt idx="2">
                  <c:v>16204.222800000001</c:v>
                </c:pt>
                <c:pt idx="3">
                  <c:v>20480.4745</c:v>
                </c:pt>
                <c:pt idx="4">
                  <c:v>40691.199999999997</c:v>
                </c:pt>
                <c:pt idx="5">
                  <c:v>2663.1695999999997</c:v>
                </c:pt>
                <c:pt idx="6">
                  <c:v>13640.355000000001</c:v>
                </c:pt>
                <c:pt idx="7">
                  <c:v>4025.57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F-49B2-8EA4-C4B27B2886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690240"/>
        <c:axId val="199690656"/>
      </c:barChart>
      <c:catAx>
        <c:axId val="19969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90656"/>
        <c:crosses val="autoZero"/>
        <c:auto val="1"/>
        <c:lblAlgn val="ctr"/>
        <c:lblOffset val="100"/>
        <c:noMultiLvlLbl val="0"/>
      </c:catAx>
      <c:valAx>
        <c:axId val="1996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690240"/>
        <c:crosses val="autoZero"/>
        <c:crossBetween val="between"/>
      </c:valAx>
      <c:spPr>
        <a:solidFill>
          <a:schemeClr val="accent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График</a:t>
            </a:r>
            <a:r>
              <a:rPr lang="ru-RU" b="1" baseline="0">
                <a:solidFill>
                  <a:schemeClr val="tx1"/>
                </a:solidFill>
              </a:rPr>
              <a:t> функции </a:t>
            </a:r>
            <a:r>
              <a:rPr lang="en-US" sz="1400" b="1" i="0" u="none" strike="noStrike" baseline="0">
                <a:solidFill>
                  <a:schemeClr val="tx1"/>
                </a:solidFill>
                <a:effectLst/>
              </a:rPr>
              <a:t>y = x³-4x²+2x+1</a:t>
            </a:r>
            <a:r>
              <a:rPr lang="en-US" sz="1400" b="1" i="0" u="none" strike="noStrike" baseline="0">
                <a:solidFill>
                  <a:schemeClr val="tx1"/>
                </a:solidFill>
              </a:rPr>
              <a:t> </a:t>
            </a:r>
            <a:r>
              <a:rPr lang="ru-RU" b="1" baseline="0">
                <a:solidFill>
                  <a:schemeClr val="tx1"/>
                </a:solidFill>
              </a:rPr>
              <a:t> </a:t>
            </a:r>
          </a:p>
        </c:rich>
      </c:tx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Лист4!$B$2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Лист4!$A$3:$A$43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Лист4!$B$3:$B$43</c:f>
              <c:numCache>
                <c:formatCode>General</c:formatCode>
                <c:ptCount val="41"/>
                <c:pt idx="0">
                  <c:v>1</c:v>
                </c:pt>
                <c:pt idx="1">
                  <c:v>1.161</c:v>
                </c:pt>
                <c:pt idx="2">
                  <c:v>1.248</c:v>
                </c:pt>
                <c:pt idx="3">
                  <c:v>1.2669999999999999</c:v>
                </c:pt>
                <c:pt idx="4">
                  <c:v>1.224</c:v>
                </c:pt>
                <c:pt idx="5">
                  <c:v>1.125</c:v>
                </c:pt>
                <c:pt idx="6">
                  <c:v>0.97599999999999998</c:v>
                </c:pt>
                <c:pt idx="7">
                  <c:v>0.78300000000000014</c:v>
                </c:pt>
                <c:pt idx="8">
                  <c:v>0.5519999999999996</c:v>
                </c:pt>
                <c:pt idx="9">
                  <c:v>0.28899999999999992</c:v>
                </c:pt>
                <c:pt idx="10">
                  <c:v>0</c:v>
                </c:pt>
                <c:pt idx="11">
                  <c:v>-0.30900000000000016</c:v>
                </c:pt>
                <c:pt idx="12">
                  <c:v>-0.63200000000000012</c:v>
                </c:pt>
                <c:pt idx="13">
                  <c:v>-0.96300000000000052</c:v>
                </c:pt>
                <c:pt idx="14">
                  <c:v>-1.2960000000000003</c:v>
                </c:pt>
                <c:pt idx="15">
                  <c:v>-1.625</c:v>
                </c:pt>
                <c:pt idx="16">
                  <c:v>-1.9440000000000008</c:v>
                </c:pt>
                <c:pt idx="17">
                  <c:v>-2.2469999999999994</c:v>
                </c:pt>
                <c:pt idx="18">
                  <c:v>-2.528</c:v>
                </c:pt>
                <c:pt idx="19">
                  <c:v>-2.7810000000000006</c:v>
                </c:pt>
                <c:pt idx="20">
                  <c:v>-3</c:v>
                </c:pt>
                <c:pt idx="21">
                  <c:v>-3.1789999999999994</c:v>
                </c:pt>
                <c:pt idx="22">
                  <c:v>-3.3119999999999994</c:v>
                </c:pt>
                <c:pt idx="23">
                  <c:v>-3.3930000000000007</c:v>
                </c:pt>
                <c:pt idx="24">
                  <c:v>-3.4159999999999995</c:v>
                </c:pt>
                <c:pt idx="25">
                  <c:v>-3.375</c:v>
                </c:pt>
                <c:pt idx="26">
                  <c:v>-3.2639999999999985</c:v>
                </c:pt>
                <c:pt idx="27">
                  <c:v>-3.077</c:v>
                </c:pt>
                <c:pt idx="28">
                  <c:v>-2.8080000000000016</c:v>
                </c:pt>
                <c:pt idx="29">
                  <c:v>-2.4510000000000014</c:v>
                </c:pt>
                <c:pt idx="30">
                  <c:v>-2</c:v>
                </c:pt>
                <c:pt idx="31">
                  <c:v>-1.4490000000000007</c:v>
                </c:pt>
                <c:pt idx="32">
                  <c:v>-0.79199999999999982</c:v>
                </c:pt>
                <c:pt idx="33">
                  <c:v>-2.2999999999997911E-2</c:v>
                </c:pt>
                <c:pt idx="34">
                  <c:v>0.86399999999999988</c:v>
                </c:pt>
                <c:pt idx="35">
                  <c:v>1.875</c:v>
                </c:pt>
                <c:pt idx="36">
                  <c:v>3.0160000000000027</c:v>
                </c:pt>
                <c:pt idx="37">
                  <c:v>4.293000000000001</c:v>
                </c:pt>
                <c:pt idx="38">
                  <c:v>5.7119999999999944</c:v>
                </c:pt>
                <c:pt idx="39">
                  <c:v>7.278999999999999</c:v>
                </c:pt>
                <c:pt idx="4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1-4F79-BA2D-2EC748941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15632"/>
        <c:axId val="154116048"/>
      </c:scatterChart>
      <c:valAx>
        <c:axId val="15411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X</a:t>
                </a:r>
                <a:endParaRPr lang="ru-R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116048"/>
        <c:crosses val="autoZero"/>
        <c:crossBetween val="midCat"/>
      </c:valAx>
      <c:valAx>
        <c:axId val="1541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</a:t>
                </a:r>
                <a:endParaRPr lang="ru-RU" b="1"/>
              </a:p>
            </c:rich>
          </c:tx>
          <c:layout>
            <c:manualLayout>
              <c:xMode val="edge"/>
              <c:yMode val="edge"/>
              <c:x val="2.5000000000000001E-2"/>
              <c:y val="0.49157407407407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11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Графическое</a:t>
            </a:r>
            <a:r>
              <a:rPr lang="ru-RU" b="1" baseline="0">
                <a:solidFill>
                  <a:schemeClr val="tx1"/>
                </a:solidFill>
              </a:rPr>
              <a:t> решение</a:t>
            </a:r>
            <a:endParaRPr lang="ru-RU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5895669291338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Лист5!$A$4:$A$19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Лист5!$B$4:$B$19</c:f>
              <c:numCache>
                <c:formatCode>General</c:formatCode>
                <c:ptCount val="16"/>
                <c:pt idx="0">
                  <c:v>-1</c:v>
                </c:pt>
                <c:pt idx="1">
                  <c:v>-0.96</c:v>
                </c:pt>
                <c:pt idx="2">
                  <c:v>-0.84</c:v>
                </c:pt>
                <c:pt idx="3">
                  <c:v>-0.64</c:v>
                </c:pt>
                <c:pt idx="4">
                  <c:v>-0.35999999999999988</c:v>
                </c:pt>
                <c:pt idx="5">
                  <c:v>0</c:v>
                </c:pt>
                <c:pt idx="6">
                  <c:v>0.43999999999999995</c:v>
                </c:pt>
                <c:pt idx="7">
                  <c:v>0.95999999999999974</c:v>
                </c:pt>
                <c:pt idx="8">
                  <c:v>1.5600000000000005</c:v>
                </c:pt>
                <c:pt idx="9">
                  <c:v>2.2400000000000002</c:v>
                </c:pt>
                <c:pt idx="10">
                  <c:v>3</c:v>
                </c:pt>
                <c:pt idx="11">
                  <c:v>3.8400000000000007</c:v>
                </c:pt>
                <c:pt idx="12">
                  <c:v>4.76</c:v>
                </c:pt>
                <c:pt idx="13">
                  <c:v>5.7600000000000007</c:v>
                </c:pt>
                <c:pt idx="14">
                  <c:v>6.839999999999999</c:v>
                </c:pt>
                <c:pt idx="15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76-4A64-96E5-874C43A0FA80}"/>
            </c:ext>
          </c:extLst>
        </c:ser>
        <c:ser>
          <c:idx val="1"/>
          <c:order val="1"/>
          <c:tx>
            <c:strRef>
              <c:f>Лист5!$C$3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Лист5!$A$4:$A$19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Лист5!$C$4:$C$19</c:f>
              <c:numCache>
                <c:formatCode>General</c:formatCode>
                <c:ptCount val="16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2.8</c:v>
                </c:pt>
                <c:pt idx="5">
                  <c:v>3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  <c:pt idx="10">
                  <c:v>4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4.8</c:v>
                </c:pt>
                <c:pt idx="15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76-4A64-96E5-874C43A0F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95472"/>
        <c:axId val="182994640"/>
      </c:scatterChart>
      <c:valAx>
        <c:axId val="18299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994640"/>
        <c:crosses val="autoZero"/>
        <c:crossBetween val="midCat"/>
      </c:valAx>
      <c:valAx>
        <c:axId val="1829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99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tx1"/>
                </a:solidFill>
              </a:rPr>
              <a:t>Цены предыдущей недели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7171296296296298"/>
          <c:w val="0.864863517060367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Лист6!$D$1</c:f>
              <c:strCache>
                <c:ptCount val="1"/>
                <c:pt idx="0">
                  <c:v>Цены предыдущей недели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Лист6!$A$2:$A$6</c:f>
              <c:strCache>
                <c:ptCount val="5"/>
                <c:pt idx="0">
                  <c:v>Нефть</c:v>
                </c:pt>
                <c:pt idx="1">
                  <c:v>Бензин АИ-76</c:v>
                </c:pt>
                <c:pt idx="2">
                  <c:v>Бензин АИ-93</c:v>
                </c:pt>
                <c:pt idx="3">
                  <c:v>Авиакерасин ТС-1</c:v>
                </c:pt>
                <c:pt idx="4">
                  <c:v>Дизельное топливо</c:v>
                </c:pt>
              </c:strCache>
            </c:strRef>
          </c:cat>
          <c:val>
            <c:numRef>
              <c:f>Лист6!$D$2:$D$6</c:f>
              <c:numCache>
                <c:formatCode>General</c:formatCode>
                <c:ptCount val="5"/>
                <c:pt idx="0">
                  <c:v>14601.769911504427</c:v>
                </c:pt>
                <c:pt idx="1">
                  <c:v>41109.625668449196</c:v>
                </c:pt>
                <c:pt idx="2">
                  <c:v>54266.666666666664</c:v>
                </c:pt>
                <c:pt idx="3">
                  <c:v>52523.076923076922</c:v>
                </c:pt>
                <c:pt idx="4">
                  <c:v>33532.338308457714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5-47A1-87F2-AB27446A8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797008"/>
        <c:axId val="218640144"/>
      </c:barChart>
      <c:catAx>
        <c:axId val="23179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640144"/>
        <c:crosses val="autoZero"/>
        <c:auto val="1"/>
        <c:lblAlgn val="ctr"/>
        <c:lblOffset val="100"/>
        <c:noMultiLvlLbl val="0"/>
      </c:catAx>
      <c:valAx>
        <c:axId val="2186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7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592231</xdr:colOff>
      <xdr:row>0</xdr:row>
      <xdr:rowOff>179294</xdr:rowOff>
    </xdr:from>
    <xdr:to>
      <xdr:col>16</xdr:col>
      <xdr:colOff>156882</xdr:colOff>
      <xdr:row>10</xdr:row>
      <xdr:rowOff>145676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23812</xdr:rowOff>
    </xdr:from>
    <xdr:to>
      <xdr:col>14</xdr:col>
      <xdr:colOff>295275</xdr:colOff>
      <xdr:row>11</xdr:row>
      <xdr:rowOff>100012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171450</xdr:rowOff>
    </xdr:from>
    <xdr:to>
      <xdr:col>10</xdr:col>
      <xdr:colOff>295275</xdr:colOff>
      <xdr:row>15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180975</xdr:rowOff>
    </xdr:from>
    <xdr:to>
      <xdr:col>11</xdr:col>
      <xdr:colOff>295275</xdr:colOff>
      <xdr:row>16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676274</xdr:colOff>
      <xdr:row>6</xdr:row>
      <xdr:rowOff>38100</xdr:rowOff>
    </xdr:from>
    <xdr:to>
      <xdr:col>3</xdr:col>
      <xdr:colOff>2057399</xdr:colOff>
      <xdr:row>20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Formulas="1" tabSelected="1" workbookViewId="0">
      <selection activeCell="L5" sqref="L5"/>
    </sheetView>
  </sheetViews>
  <sheetFormatPr defaultRowHeight="15" x14ac:dyDescent="0.25"/>
  <cols>
    <col min="1" max="3" width="9.140625" customWidth="1"/>
    <col min="5" max="5" width="12.42578125" customWidth="1"/>
    <col min="6" max="6" width="9.140625" customWidth="1"/>
    <col min="8" max="8" width="15.140625" customWidth="1"/>
  </cols>
  <sheetData>
    <row r="1" spans="1:8" x14ac:dyDescent="0.25">
      <c r="A1" s="1">
        <v>1</v>
      </c>
      <c r="B1" s="1">
        <v>1</v>
      </c>
      <c r="C1" s="2">
        <v>11</v>
      </c>
      <c r="D1" s="1">
        <v>22</v>
      </c>
      <c r="E1" s="1">
        <v>-25.3</v>
      </c>
      <c r="F1" s="1">
        <v>100</v>
      </c>
      <c r="G1" s="3">
        <v>2</v>
      </c>
      <c r="H1" s="4">
        <v>44805</v>
      </c>
    </row>
    <row r="2" spans="1:8" x14ac:dyDescent="0.25">
      <c r="A2" s="3">
        <v>2</v>
      </c>
      <c r="B2" s="1">
        <v>3</v>
      </c>
      <c r="C2" s="2">
        <v>13</v>
      </c>
      <c r="D2" s="1">
        <v>44</v>
      </c>
      <c r="E2" s="5">
        <v>-25.3</v>
      </c>
      <c r="F2" s="1">
        <v>103</v>
      </c>
      <c r="G2" s="3">
        <v>8</v>
      </c>
      <c r="H2" s="4">
        <v>44835</v>
      </c>
    </row>
    <row r="3" spans="1:8" x14ac:dyDescent="0.25">
      <c r="A3" s="1">
        <v>3</v>
      </c>
      <c r="B3" s="1">
        <v>5</v>
      </c>
      <c r="C3" s="2">
        <v>15</v>
      </c>
      <c r="D3" s="1">
        <v>66</v>
      </c>
      <c r="E3" s="6">
        <v>-25.3</v>
      </c>
      <c r="F3" s="1">
        <v>106</v>
      </c>
      <c r="G3" s="3">
        <v>32</v>
      </c>
      <c r="H3" s="4">
        <v>44866</v>
      </c>
    </row>
    <row r="4" spans="1:8" x14ac:dyDescent="0.25">
      <c r="A4" s="3">
        <v>4</v>
      </c>
      <c r="B4" s="1">
        <v>7</v>
      </c>
      <c r="C4" s="2">
        <v>17</v>
      </c>
      <c r="D4" s="1">
        <v>88</v>
      </c>
      <c r="E4" s="7">
        <v>-25.3</v>
      </c>
      <c r="F4" s="1">
        <v>109</v>
      </c>
      <c r="G4" s="3">
        <v>128</v>
      </c>
      <c r="H4" s="4">
        <v>44896</v>
      </c>
    </row>
    <row r="5" spans="1:8" x14ac:dyDescent="0.25">
      <c r="A5" s="1">
        <v>5</v>
      </c>
      <c r="B5" s="1">
        <v>9</v>
      </c>
      <c r="C5" s="2">
        <v>19</v>
      </c>
      <c r="D5" s="1">
        <v>110</v>
      </c>
      <c r="E5" s="8">
        <v>-25.3</v>
      </c>
      <c r="F5" s="1">
        <v>112</v>
      </c>
      <c r="G5" s="3">
        <v>512</v>
      </c>
      <c r="H5" s="4">
        <v>44927</v>
      </c>
    </row>
    <row r="6" spans="1:8" x14ac:dyDescent="0.25">
      <c r="A6" s="3">
        <v>6</v>
      </c>
      <c r="B6" s="1">
        <v>11</v>
      </c>
      <c r="C6" s="2">
        <v>21</v>
      </c>
      <c r="D6" s="1">
        <v>132</v>
      </c>
      <c r="E6" s="1">
        <v>-25.3</v>
      </c>
      <c r="F6" s="1">
        <v>115</v>
      </c>
      <c r="G6" s="3">
        <v>2048</v>
      </c>
      <c r="H6" s="4">
        <v>44958</v>
      </c>
    </row>
    <row r="7" spans="1:8" x14ac:dyDescent="0.25">
      <c r="A7" s="1">
        <v>7</v>
      </c>
      <c r="B7" s="1">
        <v>13</v>
      </c>
      <c r="C7" s="2">
        <v>23</v>
      </c>
      <c r="D7" s="1">
        <v>154</v>
      </c>
      <c r="E7" s="1">
        <v>-25.3</v>
      </c>
      <c r="F7" s="1">
        <v>118</v>
      </c>
      <c r="G7" s="3">
        <v>8192</v>
      </c>
      <c r="H7" s="4">
        <v>44986</v>
      </c>
    </row>
    <row r="8" spans="1:8" x14ac:dyDescent="0.25">
      <c r="A8" s="3">
        <v>8</v>
      </c>
      <c r="B8" s="1">
        <v>15</v>
      </c>
      <c r="C8" s="2">
        <v>25</v>
      </c>
      <c r="D8" s="1">
        <v>176</v>
      </c>
      <c r="E8" s="1">
        <v>-25.3</v>
      </c>
      <c r="F8" s="1">
        <v>121</v>
      </c>
      <c r="G8" s="3">
        <v>32768</v>
      </c>
      <c r="H8" s="4">
        <v>45017</v>
      </c>
    </row>
    <row r="9" spans="1:8" x14ac:dyDescent="0.25">
      <c r="A9" s="1">
        <v>9</v>
      </c>
      <c r="B9" s="1">
        <v>17</v>
      </c>
      <c r="C9" s="2">
        <v>27</v>
      </c>
      <c r="D9" s="1">
        <v>198</v>
      </c>
      <c r="E9" s="1">
        <v>-25.3</v>
      </c>
      <c r="F9" s="1">
        <v>124</v>
      </c>
      <c r="G9" s="3">
        <v>131072</v>
      </c>
      <c r="H9" s="4">
        <v>45047</v>
      </c>
    </row>
    <row r="10" spans="1:8" x14ac:dyDescent="0.25">
      <c r="A10" s="3">
        <v>10</v>
      </c>
      <c r="B10" s="1">
        <v>19</v>
      </c>
      <c r="C10" s="2">
        <v>29</v>
      </c>
      <c r="D10" s="1">
        <v>220</v>
      </c>
      <c r="E10" s="1">
        <v>-25.3</v>
      </c>
      <c r="F10" s="1">
        <v>127</v>
      </c>
      <c r="G10" s="3">
        <v>524288</v>
      </c>
      <c r="H10" s="4">
        <v>45078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85" zoomScaleNormal="85" workbookViewId="0">
      <selection activeCell="F40" sqref="F40"/>
    </sheetView>
  </sheetViews>
  <sheetFormatPr defaultRowHeight="15" x14ac:dyDescent="0.25"/>
  <cols>
    <col min="1" max="1" width="11.7109375" customWidth="1"/>
    <col min="2" max="2" width="10.5703125" customWidth="1"/>
    <col min="3" max="3" width="10" customWidth="1"/>
    <col min="4" max="4" width="8.28515625" customWidth="1"/>
    <col min="5" max="5" width="10" customWidth="1"/>
    <col min="6" max="6" width="9.85546875" customWidth="1"/>
    <col min="7" max="7" width="8" customWidth="1"/>
  </cols>
  <sheetData>
    <row r="1" spans="1:7" x14ac:dyDescent="0.25">
      <c r="A1" s="19" t="s">
        <v>0</v>
      </c>
      <c r="B1" s="19"/>
      <c r="C1" s="19"/>
      <c r="D1" s="19"/>
      <c r="E1" s="19"/>
      <c r="F1" s="19"/>
      <c r="G1" s="19"/>
    </row>
    <row r="2" spans="1:7" x14ac:dyDescent="0.25">
      <c r="A2" s="19" t="s">
        <v>1</v>
      </c>
      <c r="B2" s="19" t="s">
        <v>2</v>
      </c>
      <c r="C2" s="19"/>
      <c r="D2" s="19"/>
      <c r="E2" s="19"/>
      <c r="F2" s="19"/>
      <c r="G2" s="19"/>
    </row>
    <row r="3" spans="1:7" x14ac:dyDescent="0.25">
      <c r="A3" s="19"/>
      <c r="B3" s="19" t="s">
        <v>3</v>
      </c>
      <c r="C3" s="19"/>
      <c r="D3" s="19"/>
      <c r="E3" s="19" t="s">
        <v>4</v>
      </c>
      <c r="F3" s="19"/>
      <c r="G3" s="19"/>
    </row>
    <row r="4" spans="1:7" ht="30" x14ac:dyDescent="0.25">
      <c r="A4" s="19"/>
      <c r="B4" s="11" t="s">
        <v>11</v>
      </c>
      <c r="C4" s="11" t="s">
        <v>10</v>
      </c>
      <c r="D4" s="11" t="s">
        <v>9</v>
      </c>
      <c r="E4" s="11" t="s">
        <v>11</v>
      </c>
      <c r="F4" s="11" t="s">
        <v>5</v>
      </c>
      <c r="G4" s="11" t="s">
        <v>9</v>
      </c>
    </row>
    <row r="5" spans="1:7" x14ac:dyDescent="0.25">
      <c r="A5" s="1" t="s">
        <v>6</v>
      </c>
      <c r="B5" s="9">
        <v>1.8</v>
      </c>
      <c r="C5" s="1">
        <v>4</v>
      </c>
      <c r="D5" s="1">
        <f>B5*C5</f>
        <v>7.2</v>
      </c>
      <c r="E5" s="9">
        <v>0.9</v>
      </c>
      <c r="F5" s="1">
        <v>4</v>
      </c>
      <c r="G5" s="1">
        <f>E5*F5</f>
        <v>3.6</v>
      </c>
    </row>
    <row r="6" spans="1:7" ht="30" x14ac:dyDescent="0.25">
      <c r="A6" s="10" t="s">
        <v>7</v>
      </c>
      <c r="B6" s="9">
        <v>0.5</v>
      </c>
      <c r="C6" s="1">
        <v>4</v>
      </c>
      <c r="D6" s="1">
        <f t="shared" ref="D6:D7" si="0">B6*C6</f>
        <v>2</v>
      </c>
      <c r="E6" s="9">
        <v>1.1000000000000001</v>
      </c>
      <c r="F6" s="1">
        <v>4</v>
      </c>
      <c r="G6" s="1">
        <f t="shared" ref="G6:G7" si="1">E6*F6</f>
        <v>4.4000000000000004</v>
      </c>
    </row>
    <row r="7" spans="1:7" x14ac:dyDescent="0.25">
      <c r="A7" s="1" t="s">
        <v>8</v>
      </c>
      <c r="B7" s="9">
        <v>0.12</v>
      </c>
      <c r="C7" s="1">
        <v>4</v>
      </c>
      <c r="D7" s="1">
        <f t="shared" si="0"/>
        <v>0.48</v>
      </c>
      <c r="E7" s="9">
        <v>0.16</v>
      </c>
      <c r="F7" s="1">
        <v>4</v>
      </c>
      <c r="G7" s="1">
        <f t="shared" si="1"/>
        <v>0.64</v>
      </c>
    </row>
  </sheetData>
  <mergeCells count="5">
    <mergeCell ref="A1:G1"/>
    <mergeCell ref="A2:A4"/>
    <mergeCell ref="B2:G2"/>
    <mergeCell ref="B3:D3"/>
    <mergeCell ref="E3:G3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Formulas="1" zoomScale="85" zoomScaleNormal="85" workbookViewId="0">
      <selection activeCell="F11" sqref="F11"/>
    </sheetView>
  </sheetViews>
  <sheetFormatPr defaultRowHeight="15" x14ac:dyDescent="0.25"/>
  <cols>
    <col min="1" max="1" width="4.7109375" customWidth="1"/>
    <col min="2" max="2" width="25.140625" customWidth="1"/>
    <col min="3" max="3" width="11.140625" customWidth="1"/>
    <col min="4" max="4" width="10" customWidth="1"/>
    <col min="5" max="5" width="13.5703125" customWidth="1"/>
    <col min="6" max="6" width="11.140625" customWidth="1"/>
  </cols>
  <sheetData>
    <row r="1" spans="1:6" ht="45" x14ac:dyDescent="0.25">
      <c r="A1" s="9" t="s">
        <v>12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</row>
    <row r="2" spans="1:6" x14ac:dyDescent="0.25">
      <c r="A2" s="2">
        <v>1</v>
      </c>
      <c r="B2" s="3" t="s">
        <v>13</v>
      </c>
      <c r="C2" s="9" t="s">
        <v>24</v>
      </c>
      <c r="D2" s="12">
        <v>9507</v>
      </c>
      <c r="E2" s="2">
        <v>2050</v>
      </c>
      <c r="F2" s="13">
        <f>(D2/1000)*E2</f>
        <v>19489.349999999999</v>
      </c>
    </row>
    <row r="3" spans="1:6" x14ac:dyDescent="0.25">
      <c r="A3" s="2">
        <v>2</v>
      </c>
      <c r="B3" s="3" t="s">
        <v>14</v>
      </c>
      <c r="C3" s="9" t="s">
        <v>23</v>
      </c>
      <c r="D3" s="12">
        <v>1446.19</v>
      </c>
      <c r="E3" s="2">
        <v>49000</v>
      </c>
      <c r="F3" s="13">
        <f t="shared" ref="F3:F9" si="0">(D3/1000)*E3</f>
        <v>70863.31</v>
      </c>
    </row>
    <row r="4" spans="1:6" x14ac:dyDescent="0.25">
      <c r="A4" s="2">
        <v>3</v>
      </c>
      <c r="B4" s="3" t="s">
        <v>15</v>
      </c>
      <c r="C4" s="9" t="s">
        <v>23</v>
      </c>
      <c r="D4" s="12">
        <v>180.77</v>
      </c>
      <c r="E4" s="2">
        <v>89640</v>
      </c>
      <c r="F4" s="13">
        <f t="shared" si="0"/>
        <v>16204.222800000001</v>
      </c>
    </row>
    <row r="5" spans="1:6" x14ac:dyDescent="0.25">
      <c r="A5" s="2">
        <v>4</v>
      </c>
      <c r="B5" s="3" t="s">
        <v>16</v>
      </c>
      <c r="C5" s="9" t="s">
        <v>23</v>
      </c>
      <c r="D5" s="12">
        <v>3126.79</v>
      </c>
      <c r="E5" s="2">
        <v>6550</v>
      </c>
      <c r="F5" s="13">
        <f t="shared" si="0"/>
        <v>20480.4745</v>
      </c>
    </row>
    <row r="6" spans="1:6" x14ac:dyDescent="0.25">
      <c r="A6" s="2">
        <v>5</v>
      </c>
      <c r="B6" s="3" t="s">
        <v>17</v>
      </c>
      <c r="C6" s="14" t="s">
        <v>22</v>
      </c>
      <c r="D6" s="12">
        <v>1408</v>
      </c>
      <c r="E6" s="2">
        <v>28900</v>
      </c>
      <c r="F6" s="13">
        <f t="shared" si="0"/>
        <v>40691.199999999997</v>
      </c>
    </row>
    <row r="7" spans="1:6" x14ac:dyDescent="0.25">
      <c r="A7" s="2">
        <v>6</v>
      </c>
      <c r="B7" s="3" t="s">
        <v>18</v>
      </c>
      <c r="C7" s="9" t="s">
        <v>21</v>
      </c>
      <c r="D7" s="12">
        <v>5435.04</v>
      </c>
      <c r="E7" s="2">
        <v>490</v>
      </c>
      <c r="F7" s="13">
        <f t="shared" si="0"/>
        <v>2663.1695999999997</v>
      </c>
    </row>
    <row r="8" spans="1:6" x14ac:dyDescent="0.25">
      <c r="A8" s="2">
        <v>7</v>
      </c>
      <c r="B8" s="3" t="s">
        <v>19</v>
      </c>
      <c r="C8" s="9" t="s">
        <v>21</v>
      </c>
      <c r="D8" s="12">
        <v>30311.9</v>
      </c>
      <c r="E8" s="2">
        <v>450</v>
      </c>
      <c r="F8" s="13">
        <f t="shared" si="0"/>
        <v>13640.355000000001</v>
      </c>
    </row>
    <row r="9" spans="1:6" x14ac:dyDescent="0.25">
      <c r="A9" s="2">
        <v>8</v>
      </c>
      <c r="B9" s="3" t="s">
        <v>20</v>
      </c>
      <c r="C9" s="9" t="s">
        <v>21</v>
      </c>
      <c r="D9" s="12">
        <v>6823</v>
      </c>
      <c r="E9" s="2">
        <v>590</v>
      </c>
      <c r="F9" s="13">
        <f t="shared" si="0"/>
        <v>4025.57</v>
      </c>
    </row>
    <row r="10" spans="1:6" x14ac:dyDescent="0.25">
      <c r="A10" s="2"/>
      <c r="B10" s="15" t="s">
        <v>30</v>
      </c>
      <c r="C10" s="1"/>
      <c r="D10" s="1"/>
      <c r="E10" s="1"/>
      <c r="F10" s="12">
        <f>SUM(F2:F9)</f>
        <v>188057.6519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showFormulas="1" workbookViewId="0">
      <selection activeCell="I29" sqref="I29"/>
    </sheetView>
  </sheetViews>
  <sheetFormatPr defaultRowHeight="15" x14ac:dyDescent="0.25"/>
  <cols>
    <col min="2" max="2" width="14.42578125" customWidth="1"/>
  </cols>
  <sheetData>
    <row r="1" spans="1:2" x14ac:dyDescent="0.25">
      <c r="A1" s="20" t="s">
        <v>31</v>
      </c>
      <c r="B1" s="20"/>
    </row>
    <row r="2" spans="1:2" x14ac:dyDescent="0.25">
      <c r="A2" s="17" t="s">
        <v>32</v>
      </c>
      <c r="B2" s="17" t="s">
        <v>33</v>
      </c>
    </row>
    <row r="3" spans="1:2" x14ac:dyDescent="0.25">
      <c r="A3" s="16">
        <v>0</v>
      </c>
      <c r="B3">
        <f>A3^3-(4*A3^2)+(2*A3)+1</f>
        <v>1</v>
      </c>
    </row>
    <row r="4" spans="1:2" x14ac:dyDescent="0.25">
      <c r="A4" s="16">
        <v>0.1</v>
      </c>
      <c r="B4">
        <f t="shared" ref="B4:B43" si="0">A4^3-(4*A4^2)+(2*A4)+1</f>
        <v>1.161</v>
      </c>
    </row>
    <row r="5" spans="1:2" x14ac:dyDescent="0.25">
      <c r="A5" s="16">
        <v>0.2</v>
      </c>
      <c r="B5">
        <f t="shared" si="0"/>
        <v>1.248</v>
      </c>
    </row>
    <row r="6" spans="1:2" x14ac:dyDescent="0.25">
      <c r="A6" s="16">
        <v>0.3</v>
      </c>
      <c r="B6">
        <f t="shared" si="0"/>
        <v>1.2669999999999999</v>
      </c>
    </row>
    <row r="7" spans="1:2" x14ac:dyDescent="0.25">
      <c r="A7" s="16">
        <v>0.4</v>
      </c>
      <c r="B7">
        <f t="shared" si="0"/>
        <v>1.224</v>
      </c>
    </row>
    <row r="8" spans="1:2" x14ac:dyDescent="0.25">
      <c r="A8" s="16">
        <v>0.5</v>
      </c>
      <c r="B8">
        <f t="shared" si="0"/>
        <v>1.125</v>
      </c>
    </row>
    <row r="9" spans="1:2" x14ac:dyDescent="0.25">
      <c r="A9" s="16">
        <v>0.6</v>
      </c>
      <c r="B9">
        <f t="shared" si="0"/>
        <v>0.97599999999999998</v>
      </c>
    </row>
    <row r="10" spans="1:2" x14ac:dyDescent="0.25">
      <c r="A10" s="16">
        <v>0.7</v>
      </c>
      <c r="B10">
        <f t="shared" si="0"/>
        <v>0.78300000000000014</v>
      </c>
    </row>
    <row r="11" spans="1:2" x14ac:dyDescent="0.25">
      <c r="A11" s="16">
        <v>0.8</v>
      </c>
      <c r="B11">
        <f t="shared" si="0"/>
        <v>0.5519999999999996</v>
      </c>
    </row>
    <row r="12" spans="1:2" x14ac:dyDescent="0.25">
      <c r="A12" s="16">
        <v>0.9</v>
      </c>
      <c r="B12">
        <f t="shared" si="0"/>
        <v>0.28899999999999992</v>
      </c>
    </row>
    <row r="13" spans="1:2" x14ac:dyDescent="0.25">
      <c r="A13" s="16">
        <v>1</v>
      </c>
      <c r="B13">
        <f t="shared" si="0"/>
        <v>0</v>
      </c>
    </row>
    <row r="14" spans="1:2" x14ac:dyDescent="0.25">
      <c r="A14" s="16">
        <v>1.1000000000000001</v>
      </c>
      <c r="B14">
        <f t="shared" si="0"/>
        <v>-0.30900000000000016</v>
      </c>
    </row>
    <row r="15" spans="1:2" x14ac:dyDescent="0.25">
      <c r="A15" s="16">
        <v>1.2</v>
      </c>
      <c r="B15">
        <f t="shared" si="0"/>
        <v>-0.63200000000000012</v>
      </c>
    </row>
    <row r="16" spans="1:2" x14ac:dyDescent="0.25">
      <c r="A16" s="16">
        <v>1.3</v>
      </c>
      <c r="B16">
        <f t="shared" si="0"/>
        <v>-0.96300000000000052</v>
      </c>
    </row>
    <row r="17" spans="1:2" x14ac:dyDescent="0.25">
      <c r="A17" s="16">
        <v>1.4</v>
      </c>
      <c r="B17">
        <f t="shared" si="0"/>
        <v>-1.2960000000000003</v>
      </c>
    </row>
    <row r="18" spans="1:2" x14ac:dyDescent="0.25">
      <c r="A18" s="16">
        <v>1.5</v>
      </c>
      <c r="B18">
        <f t="shared" si="0"/>
        <v>-1.625</v>
      </c>
    </row>
    <row r="19" spans="1:2" x14ac:dyDescent="0.25">
      <c r="A19" s="16">
        <v>1.6</v>
      </c>
      <c r="B19">
        <f t="shared" si="0"/>
        <v>-1.9440000000000008</v>
      </c>
    </row>
    <row r="20" spans="1:2" x14ac:dyDescent="0.25">
      <c r="A20" s="16">
        <v>1.7</v>
      </c>
      <c r="B20">
        <f t="shared" si="0"/>
        <v>-2.2469999999999994</v>
      </c>
    </row>
    <row r="21" spans="1:2" x14ac:dyDescent="0.25">
      <c r="A21" s="16">
        <v>1.8</v>
      </c>
      <c r="B21">
        <f t="shared" si="0"/>
        <v>-2.528</v>
      </c>
    </row>
    <row r="22" spans="1:2" x14ac:dyDescent="0.25">
      <c r="A22" s="16">
        <v>1.9</v>
      </c>
      <c r="B22">
        <f t="shared" si="0"/>
        <v>-2.7810000000000006</v>
      </c>
    </row>
    <row r="23" spans="1:2" x14ac:dyDescent="0.25">
      <c r="A23" s="16">
        <v>2</v>
      </c>
      <c r="B23">
        <f t="shared" si="0"/>
        <v>-3</v>
      </c>
    </row>
    <row r="24" spans="1:2" x14ac:dyDescent="0.25">
      <c r="A24" s="16">
        <v>2.1</v>
      </c>
      <c r="B24">
        <f t="shared" si="0"/>
        <v>-3.1789999999999994</v>
      </c>
    </row>
    <row r="25" spans="1:2" x14ac:dyDescent="0.25">
      <c r="A25" s="16">
        <v>2.2000000000000002</v>
      </c>
      <c r="B25">
        <f t="shared" si="0"/>
        <v>-3.3119999999999994</v>
      </c>
    </row>
    <row r="26" spans="1:2" x14ac:dyDescent="0.25">
      <c r="A26" s="16">
        <v>2.2999999999999998</v>
      </c>
      <c r="B26">
        <f t="shared" si="0"/>
        <v>-3.3930000000000007</v>
      </c>
    </row>
    <row r="27" spans="1:2" x14ac:dyDescent="0.25">
      <c r="A27" s="16">
        <v>2.4</v>
      </c>
      <c r="B27">
        <f t="shared" si="0"/>
        <v>-3.4159999999999995</v>
      </c>
    </row>
    <row r="28" spans="1:2" x14ac:dyDescent="0.25">
      <c r="A28" s="16">
        <v>2.5</v>
      </c>
      <c r="B28">
        <f t="shared" si="0"/>
        <v>-3.375</v>
      </c>
    </row>
    <row r="29" spans="1:2" x14ac:dyDescent="0.25">
      <c r="A29" s="16">
        <v>2.6</v>
      </c>
      <c r="B29">
        <f t="shared" si="0"/>
        <v>-3.2639999999999985</v>
      </c>
    </row>
    <row r="30" spans="1:2" x14ac:dyDescent="0.25">
      <c r="A30" s="16">
        <v>2.7</v>
      </c>
      <c r="B30">
        <f t="shared" si="0"/>
        <v>-3.077</v>
      </c>
    </row>
    <row r="31" spans="1:2" x14ac:dyDescent="0.25">
      <c r="A31" s="16">
        <v>2.8</v>
      </c>
      <c r="B31">
        <f t="shared" si="0"/>
        <v>-2.8080000000000016</v>
      </c>
    </row>
    <row r="32" spans="1:2" x14ac:dyDescent="0.25">
      <c r="A32" s="16">
        <v>2.9</v>
      </c>
      <c r="B32">
        <f t="shared" si="0"/>
        <v>-2.4510000000000014</v>
      </c>
    </row>
    <row r="33" spans="1:2" x14ac:dyDescent="0.25">
      <c r="A33" s="16">
        <v>3</v>
      </c>
      <c r="B33">
        <f t="shared" si="0"/>
        <v>-2</v>
      </c>
    </row>
    <row r="34" spans="1:2" x14ac:dyDescent="0.25">
      <c r="A34" s="16">
        <v>3.1</v>
      </c>
      <c r="B34">
        <f t="shared" si="0"/>
        <v>-1.4490000000000007</v>
      </c>
    </row>
    <row r="35" spans="1:2" x14ac:dyDescent="0.25">
      <c r="A35" s="16">
        <v>3.2</v>
      </c>
      <c r="B35">
        <f t="shared" si="0"/>
        <v>-0.79199999999999982</v>
      </c>
    </row>
    <row r="36" spans="1:2" x14ac:dyDescent="0.25">
      <c r="A36" s="16">
        <v>3.3</v>
      </c>
      <c r="B36">
        <f t="shared" si="0"/>
        <v>-2.2999999999997911E-2</v>
      </c>
    </row>
    <row r="37" spans="1:2" x14ac:dyDescent="0.25">
      <c r="A37" s="16">
        <v>3.4</v>
      </c>
      <c r="B37">
        <f t="shared" si="0"/>
        <v>0.86399999999999988</v>
      </c>
    </row>
    <row r="38" spans="1:2" x14ac:dyDescent="0.25">
      <c r="A38" s="16">
        <v>3.5</v>
      </c>
      <c r="B38">
        <f t="shared" si="0"/>
        <v>1.875</v>
      </c>
    </row>
    <row r="39" spans="1:2" x14ac:dyDescent="0.25">
      <c r="A39" s="16">
        <v>3.6</v>
      </c>
      <c r="B39">
        <f t="shared" si="0"/>
        <v>3.0160000000000027</v>
      </c>
    </row>
    <row r="40" spans="1:2" x14ac:dyDescent="0.25">
      <c r="A40" s="16">
        <v>3.7</v>
      </c>
      <c r="B40">
        <f t="shared" si="0"/>
        <v>4.293000000000001</v>
      </c>
    </row>
    <row r="41" spans="1:2" x14ac:dyDescent="0.25">
      <c r="A41" s="16">
        <v>3.8</v>
      </c>
      <c r="B41">
        <f t="shared" si="0"/>
        <v>5.7119999999999944</v>
      </c>
    </row>
    <row r="42" spans="1:2" x14ac:dyDescent="0.25">
      <c r="A42" s="16">
        <v>3.9</v>
      </c>
      <c r="B42">
        <f t="shared" si="0"/>
        <v>7.278999999999999</v>
      </c>
    </row>
    <row r="43" spans="1:2" x14ac:dyDescent="0.25">
      <c r="A43" s="16">
        <v>4</v>
      </c>
      <c r="B43">
        <f t="shared" si="0"/>
        <v>9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Formulas="1" workbookViewId="0">
      <selection activeCell="H26" sqref="H26"/>
    </sheetView>
  </sheetViews>
  <sheetFormatPr defaultRowHeight="15" x14ac:dyDescent="0.25"/>
  <sheetData>
    <row r="1" spans="1:3" x14ac:dyDescent="0.25">
      <c r="A1" s="20" t="s">
        <v>34</v>
      </c>
      <c r="B1" s="20"/>
    </row>
    <row r="2" spans="1:3" x14ac:dyDescent="0.25">
      <c r="A2" s="20" t="s">
        <v>35</v>
      </c>
      <c r="B2" s="20"/>
    </row>
    <row r="3" spans="1:3" x14ac:dyDescent="0.25">
      <c r="A3" s="17" t="s">
        <v>32</v>
      </c>
      <c r="B3" s="17" t="s">
        <v>36</v>
      </c>
      <c r="C3" s="17" t="s">
        <v>37</v>
      </c>
    </row>
    <row r="4" spans="1:3" x14ac:dyDescent="0.25">
      <c r="A4" s="16">
        <v>0</v>
      </c>
      <c r="B4" s="16">
        <f>(A4^2)-1</f>
        <v>-1</v>
      </c>
      <c r="C4" s="16">
        <f>A4+2</f>
        <v>2</v>
      </c>
    </row>
    <row r="5" spans="1:3" x14ac:dyDescent="0.25">
      <c r="A5" s="16">
        <v>0.2</v>
      </c>
      <c r="B5" s="16">
        <f t="shared" ref="B5:B19" si="0">(A5^2)-1</f>
        <v>-0.96</v>
      </c>
      <c r="C5" s="16">
        <f t="shared" ref="C5:C19" si="1">A5+2</f>
        <v>2.2000000000000002</v>
      </c>
    </row>
    <row r="6" spans="1:3" x14ac:dyDescent="0.25">
      <c r="A6" s="16">
        <v>0.4</v>
      </c>
      <c r="B6" s="16">
        <f t="shared" si="0"/>
        <v>-0.84</v>
      </c>
      <c r="C6" s="16">
        <f t="shared" si="1"/>
        <v>2.4</v>
      </c>
    </row>
    <row r="7" spans="1:3" x14ac:dyDescent="0.25">
      <c r="A7" s="16">
        <v>0.6</v>
      </c>
      <c r="B7" s="16">
        <f t="shared" si="0"/>
        <v>-0.64</v>
      </c>
      <c r="C7" s="16">
        <f t="shared" si="1"/>
        <v>2.6</v>
      </c>
    </row>
    <row r="8" spans="1:3" x14ac:dyDescent="0.25">
      <c r="A8" s="16">
        <v>0.8</v>
      </c>
      <c r="B8" s="16">
        <f t="shared" si="0"/>
        <v>-0.35999999999999988</v>
      </c>
      <c r="C8" s="16">
        <f t="shared" si="1"/>
        <v>2.8</v>
      </c>
    </row>
    <row r="9" spans="1:3" x14ac:dyDescent="0.25">
      <c r="A9" s="16">
        <v>1</v>
      </c>
      <c r="B9" s="16">
        <f t="shared" si="0"/>
        <v>0</v>
      </c>
      <c r="C9" s="16">
        <f t="shared" si="1"/>
        <v>3</v>
      </c>
    </row>
    <row r="10" spans="1:3" x14ac:dyDescent="0.25">
      <c r="A10" s="16">
        <v>1.2</v>
      </c>
      <c r="B10" s="16">
        <f t="shared" si="0"/>
        <v>0.43999999999999995</v>
      </c>
      <c r="C10" s="16">
        <f t="shared" si="1"/>
        <v>3.2</v>
      </c>
    </row>
    <row r="11" spans="1:3" x14ac:dyDescent="0.25">
      <c r="A11" s="16">
        <v>1.4</v>
      </c>
      <c r="B11" s="16">
        <f t="shared" si="0"/>
        <v>0.95999999999999974</v>
      </c>
      <c r="C11" s="16">
        <f t="shared" si="1"/>
        <v>3.4</v>
      </c>
    </row>
    <row r="12" spans="1:3" x14ac:dyDescent="0.25">
      <c r="A12" s="16">
        <v>1.6</v>
      </c>
      <c r="B12" s="16">
        <f t="shared" si="0"/>
        <v>1.5600000000000005</v>
      </c>
      <c r="C12" s="16">
        <f t="shared" si="1"/>
        <v>3.6</v>
      </c>
    </row>
    <row r="13" spans="1:3" x14ac:dyDescent="0.25">
      <c r="A13" s="16">
        <v>1.8</v>
      </c>
      <c r="B13" s="16">
        <f t="shared" si="0"/>
        <v>2.2400000000000002</v>
      </c>
      <c r="C13" s="16">
        <f t="shared" si="1"/>
        <v>3.8</v>
      </c>
    </row>
    <row r="14" spans="1:3" x14ac:dyDescent="0.25">
      <c r="A14" s="16">
        <v>2</v>
      </c>
      <c r="B14" s="16">
        <f t="shared" si="0"/>
        <v>3</v>
      </c>
      <c r="C14" s="16">
        <f t="shared" si="1"/>
        <v>4</v>
      </c>
    </row>
    <row r="15" spans="1:3" x14ac:dyDescent="0.25">
      <c r="A15" s="16">
        <v>2.2000000000000002</v>
      </c>
      <c r="B15" s="16">
        <f t="shared" si="0"/>
        <v>3.8400000000000007</v>
      </c>
      <c r="C15" s="16">
        <f t="shared" si="1"/>
        <v>4.2</v>
      </c>
    </row>
    <row r="16" spans="1:3" x14ac:dyDescent="0.25">
      <c r="A16" s="16">
        <v>2.4</v>
      </c>
      <c r="B16" s="16">
        <f t="shared" si="0"/>
        <v>4.76</v>
      </c>
      <c r="C16" s="16">
        <f t="shared" si="1"/>
        <v>4.4000000000000004</v>
      </c>
    </row>
    <row r="17" spans="1:3" x14ac:dyDescent="0.25">
      <c r="A17" s="16">
        <v>2.6</v>
      </c>
      <c r="B17" s="16">
        <f t="shared" si="0"/>
        <v>5.7600000000000007</v>
      </c>
      <c r="C17" s="16">
        <f t="shared" si="1"/>
        <v>4.5999999999999996</v>
      </c>
    </row>
    <row r="18" spans="1:3" x14ac:dyDescent="0.25">
      <c r="A18" s="16">
        <v>2.8</v>
      </c>
      <c r="B18" s="16">
        <f t="shared" si="0"/>
        <v>6.839999999999999</v>
      </c>
      <c r="C18" s="16">
        <f t="shared" si="1"/>
        <v>4.8</v>
      </c>
    </row>
    <row r="19" spans="1:3" x14ac:dyDescent="0.25">
      <c r="A19" s="16">
        <v>3</v>
      </c>
      <c r="B19" s="16">
        <f t="shared" si="0"/>
        <v>8</v>
      </c>
      <c r="C19" s="16">
        <f t="shared" si="1"/>
        <v>5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Formulas="1" workbookViewId="0">
      <selection activeCell="A21" sqref="A21"/>
    </sheetView>
  </sheetViews>
  <sheetFormatPr defaultRowHeight="15" x14ac:dyDescent="0.25"/>
  <cols>
    <col min="1" max="1" width="19.7109375" customWidth="1"/>
    <col min="2" max="2" width="33" customWidth="1"/>
    <col min="3" max="3" width="29.28515625" customWidth="1"/>
    <col min="4" max="4" width="30.85546875" customWidth="1"/>
  </cols>
  <sheetData>
    <row r="1" spans="1:4" ht="33.75" customHeight="1" x14ac:dyDescent="0.25">
      <c r="A1" s="18" t="s">
        <v>38</v>
      </c>
      <c r="B1" s="17" t="s">
        <v>39</v>
      </c>
      <c r="C1" s="18" t="s">
        <v>40</v>
      </c>
      <c r="D1" s="18" t="s">
        <v>46</v>
      </c>
    </row>
    <row r="2" spans="1:4" x14ac:dyDescent="0.25">
      <c r="A2" t="s">
        <v>41</v>
      </c>
      <c r="B2" s="16">
        <v>16500</v>
      </c>
      <c r="C2" s="16">
        <v>13</v>
      </c>
      <c r="D2" s="16">
        <f>B2/(1+(C2/100))</f>
        <v>14601.769911504427</v>
      </c>
    </row>
    <row r="3" spans="1:4" x14ac:dyDescent="0.25">
      <c r="A3" t="s">
        <v>42</v>
      </c>
      <c r="B3" s="16">
        <v>36900</v>
      </c>
      <c r="C3" s="16">
        <v>-10.24</v>
      </c>
      <c r="D3" s="16">
        <f t="shared" ref="D3:D6" si="0">B3/(1+(C3/100))</f>
        <v>41109.625668449196</v>
      </c>
    </row>
    <row r="4" spans="1:4" x14ac:dyDescent="0.25">
      <c r="A4" t="s">
        <v>43</v>
      </c>
      <c r="B4" s="16">
        <v>40700</v>
      </c>
      <c r="C4" s="16">
        <v>-25</v>
      </c>
      <c r="D4" s="16">
        <f t="shared" si="0"/>
        <v>54266.666666666664</v>
      </c>
    </row>
    <row r="5" spans="1:4" x14ac:dyDescent="0.25">
      <c r="A5" t="s">
        <v>44</v>
      </c>
      <c r="B5" s="16">
        <v>54624</v>
      </c>
      <c r="C5" s="16">
        <v>4</v>
      </c>
      <c r="D5" s="16">
        <f t="shared" si="0"/>
        <v>52523.076923076922</v>
      </c>
    </row>
    <row r="6" spans="1:4" x14ac:dyDescent="0.25">
      <c r="A6" t="s">
        <v>45</v>
      </c>
      <c r="B6" s="16">
        <v>33700</v>
      </c>
      <c r="C6" s="16">
        <v>0.5</v>
      </c>
      <c r="D6" s="16">
        <f t="shared" si="0"/>
        <v>33532.338308457714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</dc:creator>
  <cp:lastModifiedBy>Canon</cp:lastModifiedBy>
  <dcterms:created xsi:type="dcterms:W3CDTF">2026-09-23T14:22:08Z</dcterms:created>
  <dcterms:modified xsi:type="dcterms:W3CDTF">2026-09-24T14:48:17Z</dcterms:modified>
</cp:coreProperties>
</file>